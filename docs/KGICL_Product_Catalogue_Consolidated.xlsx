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roducts" sheetId="2" state="visible" r:id="rId4"/>
    <sheet name="Excluded" sheetId="3" state="visible" r:id="rId5"/>
  </sheets>
  <definedNames>
    <definedName function="false" hidden="true" localSheetId="1" name="_xlnm._FilterDatabase" vbProcedure="false">Products!$A$1:$T$64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<sst xmlns="http://schemas.openxmlformats.org/spreadsheetml/2006/main" count="1124" uniqueCount="644">
  <si>
    <t xml:space="preserve">KGICL product catalogue: consolidated data (updated CCTV list)</t>
  </si>
  <si>
    <t xml:space="preserve">Built from the client's product sheets (updated 26 Oct 2026). One row per product in the "Products" tab. Red = needs the client, amber = needs checking, green = confirmed.</t>
  </si>
  <si>
    <t xml:space="preserve">Pillar / group</t>
  </si>
  <si>
    <t xml:space="preserve">Products</t>
  </si>
  <si>
    <t xml:space="preserve">Solar Lighting: Street Lights</t>
  </si>
  <si>
    <t xml:space="preserve">CCTV &amp; Security: Cameras</t>
  </si>
  <si>
    <t xml:space="preserve">CCTV &amp; Security: Camera + Lighting</t>
  </si>
  <si>
    <t xml:space="preserve">CCTV &amp; Security: Recorders &amp; Accessories</t>
  </si>
  <si>
    <t xml:space="preserve">Electrical Supplies: Cables &amp; Wiring</t>
  </si>
  <si>
    <t xml:space="preserve">Electrical Supplies: Switches, Sockets &amp; Conduit</t>
  </si>
  <si>
    <t xml:space="preserve">Electrical Supplies: Distribution &amp; Protection</t>
  </si>
  <si>
    <t xml:space="preserve">Electrical Supplies: Power Backup &amp; Protection</t>
  </si>
  <si>
    <t xml:space="preserve">Electrical Supplies: Lighting &amp; Fans</t>
  </si>
  <si>
    <t xml:space="preserve">Industrial Supply: PPE &amp; Safety</t>
  </si>
  <si>
    <t xml:space="preserve">Industrial Supply: Earthing &amp; Lightning Protection</t>
  </si>
  <si>
    <t xml:space="preserve">Total products</t>
  </si>
  <si>
    <t xml:space="preserve">Check</t>
  </si>
  <si>
    <t xml:space="preserve">Count</t>
  </si>
  <si>
    <t xml:space="preserve">Photo missing</t>
  </si>
  <si>
    <t xml:space="preserve">Photo link present, real or stock still to confirm</t>
  </si>
  <si>
    <t xml:space="preserve">Photo confirmed real</t>
  </si>
  <si>
    <t xml:space="preserve">Name cut off in the source (needs the client)</t>
  </si>
  <si>
    <t xml:space="preserve">Details possibly cut off (rough automatic check)</t>
  </si>
  <si>
    <t xml:space="preserve">Safety claims unverified (earthing and PPE)</t>
  </si>
  <si>
    <t xml:space="preserve">Voltage rating verified by client (standards still unverified)</t>
  </si>
  <si>
    <t xml:space="preserve">Claims to verify with the supplier (CCTV)</t>
  </si>
  <si>
    <t xml:space="preserve">Featured on the homepage</t>
  </si>
  <si>
    <t xml:space="preserve">Excluded items are listed in the Excluded tab (demo row, three CCTV items the client does not have yet, two replaced CCTV items).</t>
  </si>
  <si>
    <t xml:space="preserve">Stock columns in the client sheets were ignored (not requested). Prices are not part of the data.</t>
  </si>
  <si>
    <t xml:space="preserve">ID</t>
  </si>
  <si>
    <t xml:space="preserve">Pillar</t>
  </si>
  <si>
    <t xml:space="preserve">Group</t>
  </si>
  <si>
    <t xml:space="preserve">Proposed name (draft)</t>
  </si>
  <si>
    <t xml:space="preserve">Name status</t>
  </si>
  <si>
    <t xml:space="preserve">Slug (draft)</t>
  </si>
  <si>
    <t xml:space="preserve">Slug status</t>
  </si>
  <si>
    <t xml:space="preserve">Model code</t>
  </si>
  <si>
    <t xml:space="preserve">Name as received</t>
  </si>
  <si>
    <t xml:space="preserve">Details as received</t>
  </si>
  <si>
    <t xml:space="preserve">Details status</t>
  </si>
  <si>
    <t xml:space="preserve">Standard / material (as received)</t>
  </si>
  <si>
    <t xml:space="preserve">Size table likely</t>
  </si>
  <si>
    <t xml:space="preserve">Photo status</t>
  </si>
  <si>
    <t xml:space="preserve">Cloudinary public ID</t>
  </si>
  <si>
    <t xml:space="preserve">Photo URL (as received)</t>
  </si>
  <si>
    <t xml:space="preserve">Featured (order)</t>
  </si>
  <si>
    <t xml:space="preserve">Claims status</t>
  </si>
  <si>
    <t xml:space="preserve">Source</t>
  </si>
  <si>
    <t xml:space="preserve">Notes</t>
  </si>
  <si>
    <t xml:space="preserve">P-001</t>
  </si>
  <si>
    <t xml:space="preserve">Solar Lighting</t>
  </si>
  <si>
    <t xml:space="preserve">Street Lights</t>
  </si>
  <si>
    <t xml:space="preserve">100W Solar Street Light, 10-Eye</t>
  </si>
  <si>
    <t xml:space="preserve">Complete</t>
  </si>
  <si>
    <t xml:space="preserve">100w-solar-street-light-10-eye</t>
  </si>
  <si>
    <t xml:space="preserve">Final</t>
  </si>
  <si>
    <t xml:space="preserve">KG-SL-100W</t>
  </si>
  <si>
    <t xml:space="preserve">100W 10-eye</t>
  </si>
  <si>
    <t xml:space="preserve">Type: 10-Eye | Battery: 3.2V 320WH | Backup: &gt;12-20Hrs | Pole: 6-8M | Lumens: 10000lm | Best for: Estates, Streets</t>
  </si>
  <si>
    <t xml:space="preserve">No</t>
  </si>
  <si>
    <t xml:space="preserve">Link present: real or stock to confirm</t>
  </si>
  <si>
    <t xml:space="preserve">2-100W_10-eye</t>
  </si>
  <si>
    <t xml:space="preserve">https://res.cloudinary.com/x5utb1ld/image/upload/v1792757079/2-100W_10-eye.webp</t>
  </si>
  <si>
    <t xml:space="preserve">n/a</t>
  </si>
  <si>
    <t xml:space="preserve">Solar_Product_List_18_Items_1.docx, row 2</t>
  </si>
  <si>
    <t xml:space="preserve">P-002</t>
  </si>
  <si>
    <t xml:space="preserve">100W Solar Street Light, 10-Eye D-Series</t>
  </si>
  <si>
    <t xml:space="preserve">100w-solar-street-light-10-eye-d-series</t>
  </si>
  <si>
    <t xml:space="preserve">KG-SL-100W-D</t>
  </si>
  <si>
    <t xml:space="preserve">100W 10-eye D SERIES</t>
  </si>
  <si>
    <t xml:space="preserve">Type: 10-Eye D | Battery: 3.2V 320WH | Backup: &gt;12-20Hrs | Pole: 6-8M | Lumens: 10300lm | Best for: Premium Estates</t>
  </si>
  <si>
    <t xml:space="preserve">3-100W_10-eye_D_SERIES</t>
  </si>
  <si>
    <t xml:space="preserve">https://res.cloudinary.com/x5utb1ld/image/upload/v1792757282/3-100W_10-eye_D_SERIES.jpg</t>
  </si>
  <si>
    <t xml:space="preserve">Solar_Product_List_18_Items_1.docx, row 3</t>
  </si>
  <si>
    <t xml:space="preserve">P-003</t>
  </si>
  <si>
    <t xml:space="preserve">100W Solar Street Light, 4-Bar</t>
  </si>
  <si>
    <t xml:space="preserve">100w-solar-street-light-4-bar</t>
  </si>
  <si>
    <t xml:space="preserve">KG-SL-100W-4BAR</t>
  </si>
  <si>
    <t xml:space="preserve">100W 4-BAR</t>
  </si>
  <si>
    <t xml:space="preserve">Type: 4-BAR | Battery: 3.2V 320WH | Backup: &gt;12-20Hrs | Pole: 6-8M | Lumens: 10000lm | Best for: Estates</t>
  </si>
  <si>
    <t xml:space="preserve">4-100W_4-BAR</t>
  </si>
  <si>
    <t xml:space="preserve">https://res.cloudinary.com/x5utb1ld/image/upload/v1792757411/4-100W_4-BAR.webp</t>
  </si>
  <si>
    <t xml:space="preserve">Solar_Product_List_18_Items_1.docx, row 4</t>
  </si>
  <si>
    <t xml:space="preserve">P-004</t>
  </si>
  <si>
    <t xml:space="preserve">120W Solar Street Light, 12-Eye</t>
  </si>
  <si>
    <t xml:space="preserve">120w-solar-street-light-12-eye</t>
  </si>
  <si>
    <t xml:space="preserve">KG-SL-120W</t>
  </si>
  <si>
    <t xml:space="preserve">120W 12-eye</t>
  </si>
  <si>
    <t xml:space="preserve">Type: 12-Eye | Battery: 3.2V 360WH | Backup: &gt;12-20Hrs | Pole: 6-8M | Lumens: 12000lm | Best for: Main Roads</t>
  </si>
  <si>
    <t xml:space="preserve">Real (confirmed by client)</t>
  </si>
  <si>
    <t xml:space="preserve">5-120W_12-eye</t>
  </si>
  <si>
    <t xml:space="preserve">https://res.cloudinary.com/x5utb1ld/image/upload/v1792847832/5-120W_12-eye.webp</t>
  </si>
  <si>
    <t xml:space="preserve">Solar_Product_List_18_Items_1.docx, row 5</t>
  </si>
  <si>
    <t xml:space="preserve">P-005</t>
  </si>
  <si>
    <t xml:space="preserve">120W Solar Street Light, 12-Eye D-Series</t>
  </si>
  <si>
    <t xml:space="preserve">120w-solar-street-light-12-eye-d-series</t>
  </si>
  <si>
    <t xml:space="preserve">KG-SL-120W-D</t>
  </si>
  <si>
    <t xml:space="preserve">120W 12-eye D SERIES</t>
  </si>
  <si>
    <t xml:space="preserve">Type: 12-Eye D | Battery: 3.2V 360WH | Backup: &gt;12-20Hrs | Pole: 8-9M | Lumens: 12500lm | Best for: Premium Main Roads</t>
  </si>
  <si>
    <t xml:space="preserve">6-120W_12-eye_D_SERIES</t>
  </si>
  <si>
    <t xml:space="preserve">https://res.cloudinary.com/x5utb1ld/image/upload/v1792757701/6-120W_12-eye_D_SERIES.webp</t>
  </si>
  <si>
    <t xml:space="preserve">Solar_Product_List_18_Items_1.docx, row 6</t>
  </si>
  <si>
    <t xml:space="preserve">P-006</t>
  </si>
  <si>
    <t xml:space="preserve">120W Solar Street Light, 4-Eye Square White</t>
  </si>
  <si>
    <t xml:space="preserve">120w-solar-street-light-4-eye-square-white</t>
  </si>
  <si>
    <t xml:space="preserve">KG-SL-120W-4EYE</t>
  </si>
  <si>
    <t xml:space="preserve">120W 4-Eye Square White</t>
  </si>
  <si>
    <t xml:space="preserve">Type: Square White | Battery: 3.2V 360WH | Backup: 12-15Hrs | Pole: 6-8M | Lumens: 12000lm | Best for: Modern, Wall Mount</t>
  </si>
  <si>
    <t xml:space="preserve">7-120W_4-Eye_Square_White</t>
  </si>
  <si>
    <t xml:space="preserve">https://res.cloudinary.com/x5utb1ld/image/upload/v1792757822/7-120W_4-Eye_Square_White.webp</t>
  </si>
  <si>
    <t xml:space="preserve">Solar_Product_List_18_Items_1.docx, row 7</t>
  </si>
  <si>
    <t xml:space="preserve">P-007</t>
  </si>
  <si>
    <t xml:space="preserve">120W Solar Street Light, 5-Bar</t>
  </si>
  <si>
    <t xml:space="preserve">120w-solar-street-light-5-bar</t>
  </si>
  <si>
    <t xml:space="preserve">KG-SL-120W-5BAR</t>
  </si>
  <si>
    <t xml:space="preserve">120W 5-BAR</t>
  </si>
  <si>
    <t xml:space="preserve">Type: 5-BAR | Battery: 3.2V 360WH | Backup: &gt;12-20Hrs | Pole: 6-8M | Lumens: 12000lm | Best for: Estates, Schools</t>
  </si>
  <si>
    <t xml:space="preserve">8-120W_5-BAR</t>
  </si>
  <si>
    <t xml:space="preserve">https://res.cloudinary.com/x5utb1ld/image/upload/v1792758021/8-120W_5-BAR.webp</t>
  </si>
  <si>
    <t xml:space="preserve">Solar_Product_List_18_Items_1.docx, row 8</t>
  </si>
  <si>
    <t xml:space="preserve">P-008</t>
  </si>
  <si>
    <t xml:space="preserve">150W Solar Street Light, 14-Eye</t>
  </si>
  <si>
    <t xml:space="preserve">150w-solar-street-light-14-eye</t>
  </si>
  <si>
    <t xml:space="preserve">KG-SL-150W</t>
  </si>
  <si>
    <t xml:space="preserve">150W 14-eye</t>
  </si>
  <si>
    <t xml:space="preserve">Type: 14-Eye | Battery: 3.2V 480WH | Backup: &gt;12-20Hrs | Pole: 8-10M | Lumens: 15000lm | Best for: Highways</t>
  </si>
  <si>
    <t xml:space="preserve">9-150W_14-eye</t>
  </si>
  <si>
    <t xml:space="preserve">https://res.cloudinary.com/x5utb1ld/image/upload/v1792758125/9-150W_14-eye.webp</t>
  </si>
  <si>
    <t xml:space="preserve">Solar_Product_List_18_Items_1.docx, row 9</t>
  </si>
  <si>
    <t xml:space="preserve">P-009</t>
  </si>
  <si>
    <t xml:space="preserve">150W Solar Street Light, 5-Bar</t>
  </si>
  <si>
    <t xml:space="preserve">150w-solar-street-light-5-bar</t>
  </si>
  <si>
    <t xml:space="preserve">KG-SL-150W-5BAR</t>
  </si>
  <si>
    <t xml:space="preserve">150W 5-BAR</t>
  </si>
  <si>
    <t xml:space="preserve">Type: 5-BAR | Battery: 3.2V 480WH | Backup: &gt;12-20Hrs | Pole: 8-10M | Lumens: 15000lm | Best for: Medium Projects</t>
  </si>
  <si>
    <t xml:space="preserve">10-150W_5-BAR</t>
  </si>
  <si>
    <t xml:space="preserve">https://res.cloudinary.com/x5utb1ld/image/upload/v1792751075/10-150W_5-BAR.webp</t>
  </si>
  <si>
    <t xml:space="preserve">Solar_Product_List_18_Items_1.docx, row 10</t>
  </si>
  <si>
    <t xml:space="preserve">P-010</t>
  </si>
  <si>
    <t xml:space="preserve">150W Solar Street Light, 6-Bar</t>
  </si>
  <si>
    <t xml:space="preserve">150w-solar-street-light-6-bar</t>
  </si>
  <si>
    <t xml:space="preserve">KG-SL-150W-6BAR</t>
  </si>
  <si>
    <t xml:space="preserve">150W 6-BAR</t>
  </si>
  <si>
    <t xml:space="preserve">Type: 6-BAR | Battery: 3.2V 480WH | Backup: &gt;12-20Hrs | Pole: 8-10M | Lumens: 15000lm | Best for: Large Compounds</t>
  </si>
  <si>
    <t xml:space="preserve">11-150W_6-BAR</t>
  </si>
  <si>
    <t xml:space="preserve">https://res.cloudinary.com/x5utb1ld/image/upload/v1792750941/11-150W_6-BAR.webp</t>
  </si>
  <si>
    <t xml:space="preserve">Solar_Product_List_18_Items_1.docx, row 11</t>
  </si>
  <si>
    <t xml:space="preserve">P-011</t>
  </si>
  <si>
    <t xml:space="preserve">180W Solar Street Light, 6-Bar</t>
  </si>
  <si>
    <t xml:space="preserve">180w-solar-street-light-6-bar</t>
  </si>
  <si>
    <t xml:space="preserve">KG-SL-180W-6BAR</t>
  </si>
  <si>
    <t xml:space="preserve">180W 6-BAR</t>
  </si>
  <si>
    <t xml:space="preserve">Type: 6-BAR | Battery: 3.2V 576WH | Backup: &gt;12-20Hrs | Pole: 8-10M | Lumens: 18000lm | Best for: Govt Highway</t>
  </si>
  <si>
    <t xml:space="preserve">12-180W_6-BAR</t>
  </si>
  <si>
    <t xml:space="preserve">https://res.cloudinary.com/x5utb1ld/image/upload/v1792751652/12-180W_6-BAR.webp</t>
  </si>
  <si>
    <t xml:space="preserve">Solar_Product_List_18_Items_1.docx, row 12</t>
  </si>
  <si>
    <t xml:space="preserve">P-012</t>
  </si>
  <si>
    <t xml:space="preserve">200W Solar Street Light, 16-Eye</t>
  </si>
  <si>
    <t xml:space="preserve">200w-solar-street-light-16-eye</t>
  </si>
  <si>
    <t xml:space="preserve">KG-SL-200W</t>
  </si>
  <si>
    <t xml:space="preserve">200W 16-eye</t>
  </si>
  <si>
    <t xml:space="preserve">Type: 16-Eye | Battery: 3.2V 520WH | Backup: &gt;12-20Hrs | Pole: 8-10M | Lumens: 20000lm | Best for: Govt Projects</t>
  </si>
  <si>
    <t xml:space="preserve">13-200W_16-eye</t>
  </si>
  <si>
    <t xml:space="preserve">https://res.cloudinary.com/x5utb1ld/image/upload/v1792751740/13-200W_16-eye.webp</t>
  </si>
  <si>
    <t xml:space="preserve">Solar_Product_List_18_Items_1.docx, row 13</t>
  </si>
  <si>
    <t xml:space="preserve">P-013</t>
  </si>
  <si>
    <t xml:space="preserve">200W Solar Street Light, 16-Eye D-Series</t>
  </si>
  <si>
    <t xml:space="preserve">200w-solar-street-light-16-eye-d-series</t>
  </si>
  <si>
    <t xml:space="preserve">KG-SL-200W-D</t>
  </si>
  <si>
    <t xml:space="preserve">200W 16-eye D SERIES</t>
  </si>
  <si>
    <t xml:space="preserve">Type: 16-Eye D | Battery: 3.2V 520WH | Backup: &gt;12-20Hrs | Pole: 8-10M | Lumens: 21000lm | Best for: Premium Highways</t>
  </si>
  <si>
    <t xml:space="preserve">14-200W_16-eye_D_SERIES</t>
  </si>
  <si>
    <t xml:space="preserve">https://res.cloudinary.com/x5utb1ld/image/upload/v1792751849/14-200W_16-eye_D_SERIES.webp</t>
  </si>
  <si>
    <t xml:space="preserve">Solar_Product_List_18_Items_1.docx, row 14</t>
  </si>
  <si>
    <t xml:space="preserve">P-014</t>
  </si>
  <si>
    <t xml:space="preserve">300W Solar Street Light, 20-Eye D-Series</t>
  </si>
  <si>
    <t xml:space="preserve">300w-solar-street-light-20-eye-d-series</t>
  </si>
  <si>
    <t xml:space="preserve">KG-SL-300W-D</t>
  </si>
  <si>
    <t xml:space="preserve">300W 20-eye D SERIES</t>
  </si>
  <si>
    <t xml:space="preserve">Type: 20-Eye D | Battery: 3.2V 700WH | Backup: &gt;12-20Hrs | Pole: 10-12M | Lumens: 24800lm | Best for: Flagship D SERIES</t>
  </si>
  <si>
    <t xml:space="preserve">15-300W_20-eye_D_SERIES</t>
  </si>
  <si>
    <t xml:space="preserve">https://res.cloudinary.com/x5utb1ld/image/upload/v1792752080/15-300W_20-eye_D_SERIES.webp</t>
  </si>
  <si>
    <t xml:space="preserve">Solar_Product_List_18_Items_1.docx, row 15</t>
  </si>
  <si>
    <t xml:space="preserve">P-015</t>
  </si>
  <si>
    <t xml:space="preserve">300W Solar Street Light, 20-Eye Flagship</t>
  </si>
  <si>
    <t xml:space="preserve">300w-solar-street-light-20-eye-flagship</t>
  </si>
  <si>
    <t xml:space="preserve">KG-SL-300W</t>
  </si>
  <si>
    <t xml:space="preserve">300W 20-eye FLAGSHIP</t>
  </si>
  <si>
    <t xml:space="preserve">Type: 20-Eye Flag | Battery: 3.2V 700WH | Backup: &gt;12-20Hrs | Pole: 10-12M | Lumens: 24800lm | Best for: Strongest Flagship</t>
  </si>
  <si>
    <t xml:space="preserve">16-300W_20-eye_FLAGSHIP</t>
  </si>
  <si>
    <t xml:space="preserve">https://res.cloudinary.com/x5utb1ld/image/upload/v1792752374/16-300W_20-eye_FLAGSHIP.webp</t>
  </si>
  <si>
    <t xml:space="preserve">Solar_Product_List_18_Items_1.docx, row 16</t>
  </si>
  <si>
    <t xml:space="preserve">P-016</t>
  </si>
  <si>
    <t xml:space="preserve">80W Solar Street Light, 4-Bar</t>
  </si>
  <si>
    <t xml:space="preserve">80w-solar-street-light-4-bar</t>
  </si>
  <si>
    <t xml:space="preserve">KG-SL-80W-4BAR</t>
  </si>
  <si>
    <t xml:space="preserve">80W 4-BAR</t>
  </si>
  <si>
    <t xml:space="preserve">Type: 4-BAR | Battery: 3.2V 320WH | Backup: 15Hrs | Pole: 6-8M | Lumens: 8000lm | Best for: Small Streets, Homes</t>
  </si>
  <si>
    <t xml:space="preserve">17-80W_4-BAR</t>
  </si>
  <si>
    <t xml:space="preserve">https://res.cloudinary.com/x5utb1ld/image/upload/v1792753507/17-80W_4-BAR.webp</t>
  </si>
  <si>
    <t xml:space="preserve">Solar_Product_List_18_Items_1.docx, row 17</t>
  </si>
  <si>
    <t xml:space="preserve">P-017</t>
  </si>
  <si>
    <t xml:space="preserve">80W Solar Street Light, 8-Eye</t>
  </si>
  <si>
    <t xml:space="preserve">80w-solar-street-light-8-eye</t>
  </si>
  <si>
    <t xml:space="preserve">KG-SL-80W</t>
  </si>
  <si>
    <t xml:space="preserve">80W 8-eye</t>
  </si>
  <si>
    <t xml:space="preserve">Type: 8-Eye | Battery: 3.2V 320WH | Backup: 15Hrs | Pole: 6M | Lumens: 8000lm | Best for: Small Streets, Homes</t>
  </si>
  <si>
    <t xml:space="preserve">18-80W_8-eye</t>
  </si>
  <si>
    <t xml:space="preserve">https://res.cloudinary.com/x5utb1ld/image/upload/v1792753612/18-80W_8-eye.webp</t>
  </si>
  <si>
    <t xml:space="preserve">Solar_Product_List_18_Items_1.docx, row 18</t>
  </si>
  <si>
    <t xml:space="preserve">P-018</t>
  </si>
  <si>
    <t xml:space="preserve">CCTV &amp; Security</t>
  </si>
  <si>
    <t xml:space="preserve">Cameras</t>
  </si>
  <si>
    <t xml:space="preserve">Indoor Dome CCTV Camera</t>
  </si>
  <si>
    <t xml:space="preserve">Cut off in source: confirm full name</t>
  </si>
  <si>
    <t xml:space="preserve">indoor-dome-cctv-camera</t>
  </si>
  <si>
    <t xml:space="preserve">Provisional</t>
  </si>
  <si>
    <t xml:space="preserve">CCTV Camera - Dome Indoor 2MP/5M</t>
  </si>
  <si>
    <t xml:space="preserve">2MP, 5MP, 1080P, IR 20m, Indoor Dome</t>
  </si>
  <si>
    <t xml:space="preserve">1-CCTV_Camera_-_Dome_Indoor_2MP5M</t>
  </si>
  <si>
    <t xml:space="preserve">https://res.cloudinary.com/x5utb1ld/image/upload/v1792666710/1-CCTV_Camera_-_Dome_Indoor_2MP5M.webp</t>
  </si>
  <si>
    <t xml:space="preserve">CCTV_..._10_Items_1.docx (updated list), row 1</t>
  </si>
  <si>
    <t xml:space="preserve">Home tile candidate for CCTV (photo 810x810 px). Name cut off in the source ("2MP/5M").</t>
  </si>
  <si>
    <t xml:space="preserve">P-019</t>
  </si>
  <si>
    <t xml:space="preserve">Camera + Lighting</t>
  </si>
  <si>
    <t xml:space="preserve">AI Solar Camera with Lighting, 2-in-1</t>
  </si>
  <si>
    <t xml:space="preserve">Typo in source ("Lightening") fixed</t>
  </si>
  <si>
    <t xml:space="preserve">ai-solar-camera-with-lighting-2-in-1</t>
  </si>
  <si>
    <t xml:space="preserve">AI Solar Camera+Lightening 2-in-1</t>
  </si>
  <si>
    <t xml:space="preserve">Warm Full Color, 4k ULTRAHD, Wifi APP Remote, Solar Powered, Motion Humanoid Detection</t>
  </si>
  <si>
    <t xml:space="preserve">2-AI-Solar-Camera-and-Lighting-2-in-1-Wam-Full-Color</t>
  </si>
  <si>
    <t xml:space="preserve">https://res.cloudinary.com/x5utb1ld/image/upload/v1793017837/2-AI-Solar-Camera-and-Lighting-2-in-1-Wam-Full-Color.webp</t>
  </si>
  <si>
    <t xml:space="preserve">Verify with supplier</t>
  </si>
  <si>
    <t xml:space="preserve">CCTV_..._10_Items_1.docx (updated list), row 2</t>
  </si>
  <si>
    <t xml:space="preserve">Claims to verify: "Warm Full Color", "4K UltraHD", "Motion Humanoid Detection".</t>
  </si>
  <si>
    <t xml:space="preserve">P-020</t>
  </si>
  <si>
    <t xml:space="preserve">Solar 3PTZ CCTV Camera</t>
  </si>
  <si>
    <t xml:space="preserve">solar-3ptz-cctv-camera</t>
  </si>
  <si>
    <t xml:space="preserve">Solar 3PTZ Camera</t>
  </si>
  <si>
    <t xml:space="preserve">20MP UltraHD, 4G LTE, E-SIM+ALL SIM, Solar Powered + Rechargeable Battery + Motion Detection, Night Vision.</t>
  </si>
  <si>
    <t xml:space="preserve">3-Solar-3TPZ-Camera</t>
  </si>
  <si>
    <t xml:space="preserve">https://res.cloudinary.com/x5utb1ld/image/upload/v1793018831/3-Solar-3TPZ-Camera.jpg</t>
  </si>
  <si>
    <t xml:space="preserve">CCTV_..._10_Items_1.docx (updated list), row 3</t>
  </si>
  <si>
    <t xml:space="preserve">Claims to verify with the supplier: "20MP UltraHD", "4G LTE", "E-SIM + all SIM". Source file name says "3TPZ". Confirm the model name ("3PTZ").</t>
  </si>
  <si>
    <t xml:space="preserve">P-021</t>
  </si>
  <si>
    <t xml:space="preserve">AI Solar Camera with Lighting, 2-in-1 with 3 Video Channels</t>
  </si>
  <si>
    <t xml:space="preserve">ai-solar-camera-with-lighting-2-in-1-with-3-video-channels</t>
  </si>
  <si>
    <t xml:space="preserve">AI Solar Camera+Lightening 2-in-1 + 3 Video Channel</t>
  </si>
  <si>
    <t xml:space="preserve">4K Ultra HD, 3 Video Channel, App Remote Viewing, Solar Powered</t>
  </si>
  <si>
    <t xml:space="preserve">4-AI-Solar-Camera-and-Lighting-2-in-1-3Video-Channel</t>
  </si>
  <si>
    <t xml:space="preserve">https://res.cloudinary.com/x5utb1ld/image/upload/v1793019016/4-AI-Solar-Camera-and-Lighting-2-in-1-3Video-Channel.jpg</t>
  </si>
  <si>
    <t xml:space="preserve">CCTV_..._10_Items_1.docx (updated list), row 4</t>
  </si>
  <si>
    <t xml:space="preserve">Claims to verify: "4K Ultra HD", "3 Video Channel".</t>
  </si>
  <si>
    <t xml:space="preserve">P-022</t>
  </si>
  <si>
    <t xml:space="preserve">Solar CCTV Camera with Floodlight, All-in-One</t>
  </si>
  <si>
    <t xml:space="preserve">solar-cctv-camera-with-floodlight-all-in-one</t>
  </si>
  <si>
    <t xml:space="preserve">Solar CCTV + Floodlight - All-in-One</t>
  </si>
  <si>
    <t xml:space="preserve">Solar Panel + Battery + 100W Floodlight</t>
  </si>
  <si>
    <t xml:space="preserve">5-Solar_CCTV_Floodlight_-_All-in-One</t>
  </si>
  <si>
    <t xml:space="preserve">https://res.cloudinary.com/x5utb1ld/image/upload/v1792667485/5-Solar_CCTV_Floodlight_-_All-in-One.webp</t>
  </si>
  <si>
    <t xml:space="preserve">CCTV_..._10_Items_1.docx (updated list), row 5</t>
  </si>
  <si>
    <t xml:space="preserve">P-023</t>
  </si>
  <si>
    <t xml:space="preserve">CCTV Floodlight with Dummy Camera</t>
  </si>
  <si>
    <t xml:space="preserve">cctv-floodlight-with-dummy-camera</t>
  </si>
  <si>
    <t xml:space="preserve">CCTV Floodlight - Dummy Camera</t>
  </si>
  <si>
    <t xml:space="preserve">100W-200W Floodlight + Fake CCTV Dome</t>
  </si>
  <si>
    <t xml:space="preserve">6-CCTV_Floodlight_-_Dummy_Camera</t>
  </si>
  <si>
    <t xml:space="preserve">https://res.cloudinary.com/x5utb1ld/image/upload/v1792668567/6-CCTV_Floodlight_-_Dummy_Camera.webp</t>
  </si>
  <si>
    <t xml:space="preserve">CCTV_..._10_Items_1.docx (updated list), row 6</t>
  </si>
  <si>
    <t xml:space="preserve">Photo shows a solar-panel floodlight with a camera, not a dummy camera. Check photos 5 and 6 are not swapped.</t>
  </si>
  <si>
    <t xml:space="preserve">P-024</t>
  </si>
  <si>
    <t xml:space="preserve">Recorders &amp; Accessories</t>
  </si>
  <si>
    <t xml:space="preserve">CCTV DVR / NVR Recorder</t>
  </si>
  <si>
    <t xml:space="preserve">cctv-dvr-nvr-recorder</t>
  </si>
  <si>
    <t xml:space="preserve">CCTV DVR / NVR Recorder - 4CH/8C</t>
  </si>
  <si>
    <t xml:space="preserve">4CH, 8CH, 16CH, 32CH - Supports 2MP-8MP,</t>
  </si>
  <si>
    <t xml:space="preserve">7-CCTV_DVR_NVR_Recorder_-_4CH8C</t>
  </si>
  <si>
    <t xml:space="preserve">https://res.cloudinary.com/x5utb1ld/image/upload/v1792668767/7-CCTV_DVR_NVR_Recorder_-_4CH8C.webp</t>
  </si>
  <si>
    <t xml:space="preserve">CCTV_..._10_Items_1.docx (updated list), row 7</t>
  </si>
  <si>
    <t xml:space="preserve">Name cut off after "4CH/8C".</t>
  </si>
  <si>
    <t xml:space="preserve">P-025</t>
  </si>
  <si>
    <t xml:space="preserve">Electrical Supplies</t>
  </si>
  <si>
    <t xml:space="preserve">Cables &amp; Wiring</t>
  </si>
  <si>
    <t xml:space="preserve">PVC Single-Core Copper Wire</t>
  </si>
  <si>
    <t xml:space="preserve">pvc-single-core-copper-wire</t>
  </si>
  <si>
    <t xml:space="preserve">PVC Single Copper Wire</t>
  </si>
  <si>
    <t xml:space="preserve">1mm, 1.5mm, 2.5mm, 4mm, 6mm, 10mm, 16mm</t>
  </si>
  <si>
    <t xml:space="preserve">Likely</t>
  </si>
  <si>
    <t xml:space="preserve">1-PVC_Single_Copper_Wire</t>
  </si>
  <si>
    <t xml:space="preserve">https://res.cloudinary.com/x5utb1ld/image/upload/v1792639714/1-PVC_Single_Copper_Wire.webp</t>
  </si>
  <si>
    <t xml:space="preserve">Product_Price_List_15_Items_cable_and_wiring.docx, row 1</t>
  </si>
  <si>
    <t xml:space="preserve">P-026</t>
  </si>
  <si>
    <t xml:space="preserve">PVC Surface Wiring Cable</t>
  </si>
  <si>
    <t xml:space="preserve">pvc-surface-wiring-cable</t>
  </si>
  <si>
    <t xml:space="preserve">PVC Surface Wiring Cables</t>
  </si>
  <si>
    <t xml:space="preserve">1.5mm, 2.5mm, 4mm, 6mm – Twin &amp; Earth</t>
  </si>
  <si>
    <t xml:space="preserve">2-PVC_Single_Copper_Wire</t>
  </si>
  <si>
    <t xml:space="preserve">https://res.cloudinary.com/x5utb1ld/image/upload/v1792639974/2-PVC_Single_Copper_Wire.webp</t>
  </si>
  <si>
    <t xml:space="preserve">Product_Price_List_15_Items_cable_and_wiring.docx, row 2</t>
  </si>
  <si>
    <t xml:space="preserve">P-027</t>
  </si>
  <si>
    <t xml:space="preserve">Flexible Cable</t>
  </si>
  <si>
    <t xml:space="preserve">flexible-cable</t>
  </si>
  <si>
    <t xml:space="preserve">Flexible Cables – All Sizes</t>
  </si>
  <si>
    <t xml:space="preserve">0.75mm, 1mm, 1.5mm, 2.5mm, 4mm, 6mm, 10mm | 2</t>
  </si>
  <si>
    <t xml:space="preserve">Possibly cut off</t>
  </si>
  <si>
    <t xml:space="preserve">3-Flexible_Cables_All_Sizes</t>
  </si>
  <si>
    <t xml:space="preserve">https://res.cloudinary.com/x5utb1ld/image/upload/v1792640243/3-Flexible_Cables_All_Sizes.webp</t>
  </si>
  <si>
    <t xml:space="preserve">Product_Price_List_15_Items_cable_and_wiring.docx, row 3</t>
  </si>
  <si>
    <t xml:space="preserve">P-028</t>
  </si>
  <si>
    <t xml:space="preserve">Lighting &amp; Fans</t>
  </si>
  <si>
    <t xml:space="preserve">LED Bulb</t>
  </si>
  <si>
    <t xml:space="preserve">led-bulb</t>
  </si>
  <si>
    <t xml:space="preserve">LED Bulbs All Wattage</t>
  </si>
  <si>
    <t xml:space="preserve">3W, 5W, 7W, 9W, 12W, 15W, 20W, 30W, 50W – E27</t>
  </si>
  <si>
    <t xml:space="preserve">4-LED_Bulbs_All_Wattage</t>
  </si>
  <si>
    <t xml:space="preserve">https://res.cloudinary.com/x5utb1ld/image/upload/v1792640564/4-LED_Bulbs_All_Wattage.webp</t>
  </si>
  <si>
    <t xml:space="preserve">Product_Price_List_15_Items_cable_and_wiring.docx, row 4</t>
  </si>
  <si>
    <t xml:space="preserve">P-029</t>
  </si>
  <si>
    <t xml:space="preserve">Switches, Sockets &amp; Conduit</t>
  </si>
  <si>
    <t xml:space="preserve">Wall Switch and Socket</t>
  </si>
  <si>
    <t xml:space="preserve">wall-switch-and-socket</t>
  </si>
  <si>
    <t xml:space="preserve">Wall Switches and Sockets</t>
  </si>
  <si>
    <t xml:space="preserve">1Gang, 2Gang, 3Gang, 4Gang – 13A Sockets</t>
  </si>
  <si>
    <t xml:space="preserve">5-Wall_Switches_and_Sockets</t>
  </si>
  <si>
    <t xml:space="preserve">https://res.cloudinary.com/x5utb1ld/image/upload/v1792641083/5-Wall_Switches_and_Sockets.webp</t>
  </si>
  <si>
    <t xml:space="preserve">Product_Price_List_15_Items_cable_and_wiring.docx, row 5</t>
  </si>
  <si>
    <t xml:space="preserve">P-030</t>
  </si>
  <si>
    <t xml:space="preserve">PVC and Iron Electrical Box</t>
  </si>
  <si>
    <t xml:space="preserve">pvc-and-iron-electrical-box</t>
  </si>
  <si>
    <t xml:space="preserve">PVC / Iron Boxes – All Types</t>
  </si>
  <si>
    <t xml:space="preserve">1Gang Box, 2Gang Box, 3Gang Box, 4Gang Box |</t>
  </si>
  <si>
    <t xml:space="preserve">6-PVC_and_Iron_Boxes_All_Types</t>
  </si>
  <si>
    <t xml:space="preserve">https://res.cloudinary.com/x5utb1ld/image/upload/v1792641508/6-PVC_and_Iron_Boxes_All_Types.webp</t>
  </si>
  <si>
    <t xml:space="preserve">Product_Price_List_15_Items_cable_and_wiring.docx, row 6</t>
  </si>
  <si>
    <t xml:space="preserve">P-031</t>
  </si>
  <si>
    <t xml:space="preserve">Distribution &amp; Protection</t>
  </si>
  <si>
    <t xml:space="preserve">Single-Phase Distribution Board</t>
  </si>
  <si>
    <t xml:space="preserve">single-phase-distribution-board</t>
  </si>
  <si>
    <t xml:space="preserve">Distribution Single Board</t>
  </si>
  <si>
    <t xml:space="preserve">4Way, 6Way, 8Way, 12Way, 16Way, 24Way – Singl</t>
  </si>
  <si>
    <t xml:space="preserve">7-Distribution_Single_Board</t>
  </si>
  <si>
    <t xml:space="preserve">https://res.cloudinary.com/x5utb1ld/image/upload/v1792642354/7-Distribution_Single_Board.webp</t>
  </si>
  <si>
    <t xml:space="preserve">Product_Price_List_15_Items_cable_and_wiring.docx, row 7</t>
  </si>
  <si>
    <t xml:space="preserve">P-032</t>
  </si>
  <si>
    <t xml:space="preserve">MCB Circuit Breaker</t>
  </si>
  <si>
    <t xml:space="preserve">mcb-circuit-breaker</t>
  </si>
  <si>
    <t xml:space="preserve">MCB Breakers Single Pole</t>
  </si>
  <si>
    <t xml:space="preserve">6A, 10A, 16A, 20A, 32A, 63A, 100A – 1P,2P,3P,</t>
  </si>
  <si>
    <t xml:space="preserve">8-MCB_Breakers_Single_Pole</t>
  </si>
  <si>
    <t xml:space="preserve">https://res.cloudinary.com/x5utb1ld/image/upload/v1792643536/8-MCB_Breakers_Single_Pole.webp</t>
  </si>
  <si>
    <t xml:space="preserve">Product_Price_List_15_Items_cable_and_wiring.docx, row 8</t>
  </si>
  <si>
    <t xml:space="preserve">Name says "Single Pole" but the spec lists 1P, 2P and 3P. Confirm the true range.</t>
  </si>
  <si>
    <t xml:space="preserve">P-033</t>
  </si>
  <si>
    <t xml:space="preserve">Switchgear</t>
  </si>
  <si>
    <t xml:space="preserve">switchgear</t>
  </si>
  <si>
    <t xml:space="preserve">Switch Gears</t>
  </si>
  <si>
    <t xml:space="preserve">Isolators, Contactors, MCCB, RCCB, Changeover</t>
  </si>
  <si>
    <t xml:space="preserve">9-Switch_Gears</t>
  </si>
  <si>
    <t xml:space="preserve">https://res.cloudinary.com/x5utb1ld/image/upload/v1792644288/9-Switch_Gears.jpg</t>
  </si>
  <si>
    <t xml:space="preserve">Product_Price_List_15_Items_cable_and_wiring.docx, row 9</t>
  </si>
  <si>
    <t xml:space="preserve">P-034</t>
  </si>
  <si>
    <t xml:space="preserve">Changeover Switch, Manual and Automatic</t>
  </si>
  <si>
    <t xml:space="preserve">changeover-switch-manual-and-automatic</t>
  </si>
  <si>
    <t xml:space="preserve">Change Over Switch Manual and Automatic</t>
  </si>
  <si>
    <t xml:space="preserve">63A, 100A, 200A, 400A, 630A, 1250A – 1P to 4P</t>
  </si>
  <si>
    <t xml:space="preserve">10-Change_Over_Switch_Manual_and_Automatic</t>
  </si>
  <si>
    <t xml:space="preserve">https://res.cloudinary.com/x5utb1ld/image/upload/v1792644633/10-Change_Over_Switch_Manual_and_Automatic.webp</t>
  </si>
  <si>
    <t xml:space="preserve">Product_Price_List_15_Items_cable_and_wiring.docx, row 10</t>
  </si>
  <si>
    <t xml:space="preserve">P-035</t>
  </si>
  <si>
    <t xml:space="preserve">Conduit Pipe and Trunking</t>
  </si>
  <si>
    <t xml:space="preserve">conduit-pipe-and-trunking</t>
  </si>
  <si>
    <t xml:space="preserve">Conduit Pipes and Trunking</t>
  </si>
  <si>
    <t xml:space="preserve">16mm, 20mm, 25mm, 32mm, 38mm, 50mm – PVC &amp; Me</t>
  </si>
  <si>
    <t xml:space="preserve">11-Conduit_Pipes_and_Trunking</t>
  </si>
  <si>
    <t xml:space="preserve">https://res.cloudinary.com/x5utb1ld/image/upload/v1792645021/11-Conduit_Pipes_and_Trunking.webp</t>
  </si>
  <si>
    <t xml:space="preserve">Product_Price_List_15_Items_cable_and_wiring.docx, row 11</t>
  </si>
  <si>
    <t xml:space="preserve">P-036</t>
  </si>
  <si>
    <t xml:space="preserve">Ceiling Fan and Standing Fan</t>
  </si>
  <si>
    <t xml:space="preserve">ceiling-fan-and-standing-fan</t>
  </si>
  <si>
    <t xml:space="preserve">Ceiling Fans and Standing Fans</t>
  </si>
  <si>
    <t xml:space="preserve">56" Ceiling, 16", 18", 20" Standing – Energy</t>
  </si>
  <si>
    <t xml:space="preserve">12-Ceiling_Fans_and_Standing_Fans</t>
  </si>
  <si>
    <t xml:space="preserve">https://res.cloudinary.com/x5utb1ld/image/upload/v1792645740/12-Ceiling_Fans_and_Standing_Fans.jpg</t>
  </si>
  <si>
    <t xml:space="preserve">Product_Price_List_15_Items_cable_and_wiring.docx, row 12</t>
  </si>
  <si>
    <t xml:space="preserve">P-037</t>
  </si>
  <si>
    <t xml:space="preserve">Power Backup &amp; Protection</t>
  </si>
  <si>
    <t xml:space="preserve">Voltage Stabilizer and UPS</t>
  </si>
  <si>
    <t xml:space="preserve">voltage-stabilizer-and-ups</t>
  </si>
  <si>
    <t xml:space="preserve">Stabilizers and UPS</t>
  </si>
  <si>
    <t xml:space="preserve">500VA, 1000VA, 2KVA, 3KVA, 5KVA, 10KVA</t>
  </si>
  <si>
    <t xml:space="preserve">13-Stabilizers_and_UPS</t>
  </si>
  <si>
    <t xml:space="preserve">https://res.cloudinary.com/x5utb1ld/image/upload/v1792664590/13-Stabilizers_and_UPS.webp</t>
  </si>
  <si>
    <t xml:space="preserve">Product_Price_List_15_Items_cable_and_wiring.docx, row 13</t>
  </si>
  <si>
    <t xml:space="preserve">P-038</t>
  </si>
  <si>
    <t xml:space="preserve">Power Socket and Extension</t>
  </si>
  <si>
    <t xml:space="preserve">power-socket-and-extension</t>
  </si>
  <si>
    <t xml:space="preserve">Power Socket and Extensions</t>
  </si>
  <si>
    <t xml:space="preserve">2Gang, 3Gang, 4Gang, 5Gang, 6Gang – 3m, 5m, 1</t>
  </si>
  <si>
    <t xml:space="preserve">14-Power_Socket_and_Extensions</t>
  </si>
  <si>
    <t xml:space="preserve">https://res.cloudinary.com/x5utb1ld/image/upload/v1792665062/14-Power_Socket_and_Extensions.webp</t>
  </si>
  <si>
    <t xml:space="preserve">Product_Price_List_15_Items_cable_and_wiring.docx, row 14</t>
  </si>
  <si>
    <t xml:space="preserve">P-039</t>
  </si>
  <si>
    <t xml:space="preserve">TV, Fridge and AC Guard</t>
  </si>
  <si>
    <t xml:space="preserve">tv-fridge-and-ac-guard</t>
  </si>
  <si>
    <t xml:space="preserve">TV / Fridge / AC Guards</t>
  </si>
  <si>
    <t xml:space="preserve">5A, 13A, 16A – Auto Reconnect, High Voltage C</t>
  </si>
  <si>
    <t xml:space="preserve">15-TV_Fridge_AC_Guards</t>
  </si>
  <si>
    <t xml:space="preserve">https://res.cloudinary.com/x5utb1ld/image/upload/v1792665262/15-TV_Fridge_AC_Guards.webp</t>
  </si>
  <si>
    <t xml:space="preserve">Product_Price_List_15_Items_cable_and_wiring.docx, row 15</t>
  </si>
  <si>
    <t xml:space="preserve">P-040</t>
  </si>
  <si>
    <t xml:space="preserve">Industrial Supply</t>
  </si>
  <si>
    <t xml:space="preserve">Earthing &amp; Lightning Protection</t>
  </si>
  <si>
    <t xml:space="preserve">Pure Copper Earth Rod, Solid</t>
  </si>
  <si>
    <t xml:space="preserve">pure-copper-earth-rod-solid</t>
  </si>
  <si>
    <t xml:space="preserve">Pure Copper Earth Rod - Solid</t>
  </si>
  <si>
    <t xml:space="preserve">Dia 16mm, 20mm | Length 1.2m, 1.5m, 2m</t>
  </si>
  <si>
    <t xml:space="preserve">99.9% Pure Copper, BS</t>
  </si>
  <si>
    <t xml:space="preserve">1-Pure_Copper_Earth_Rod_-_Solid</t>
  </si>
  <si>
    <t xml:space="preserve">https://res.cloudinary.com/x5utb1ld/image/upload/v1792671038/1-Pure_Copper_Earth_Rod_-_Solid.webp</t>
  </si>
  <si>
    <t xml:space="preserve">Unverified</t>
  </si>
  <si>
    <t xml:space="preserve">Copper_Earthing_Materials_Datasheet_12_Items.docx, row 1</t>
  </si>
  <si>
    <t xml:space="preserve">P-041</t>
  </si>
  <si>
    <t xml:space="preserve">Copper Bonded Earth Rod</t>
  </si>
  <si>
    <t xml:space="preserve">copper-bonded-earth-rod</t>
  </si>
  <si>
    <t xml:space="preserve">Copper Bonded Earth Rod - Low</t>
  </si>
  <si>
    <t xml:space="preserve">Dia 14.2mm, 17.2mm | Length 1.2m, 1.5m</t>
  </si>
  <si>
    <t xml:space="preserve">Copper Bonded Steel, U</t>
  </si>
  <si>
    <t xml:space="preserve">2-Copper_Bonded_Earth_Rod_-_Low</t>
  </si>
  <si>
    <t xml:space="preserve">https://res.cloudinary.com/x5utb1ld/image/upload/v1792687552/2-Copper_Bonded_Earth_Rod_-_Low.webp</t>
  </si>
  <si>
    <t xml:space="preserve">Copper_Earthing_Materials_Datasheet_12_Items.docx, row 2</t>
  </si>
  <si>
    <t xml:space="preserve">P-042</t>
  </si>
  <si>
    <t xml:space="preserve">Bare Copper Earth Tape</t>
  </si>
  <si>
    <t xml:space="preserve">bare-copper-earth-tape</t>
  </si>
  <si>
    <t xml:space="preserve">Bare Copper Earth Tape / Strip</t>
  </si>
  <si>
    <t xml:space="preserve">25x3mm, 25x4mm, 25x6mm, 50x3mm, 50x6mm</t>
  </si>
  <si>
    <t xml:space="preserve">Bare Copper, 99.9% Cu,</t>
  </si>
  <si>
    <t xml:space="preserve">3-Bare_Copper_Earth_Tape_and_Strip</t>
  </si>
  <si>
    <t xml:space="preserve">https://res.cloudinary.com/x5utb1ld/image/upload/v1792687736/3-Bare_Copper_Earth_Tape_and_Strip.webp</t>
  </si>
  <si>
    <t xml:space="preserve">Copper_Earthing_Materials_Datasheet_12_Items.docx, row 3</t>
  </si>
  <si>
    <t xml:space="preserve">P-043</t>
  </si>
  <si>
    <t xml:space="preserve">Bare Copper Earth Wire</t>
  </si>
  <si>
    <t xml:space="preserve">bare-copper-earth-wire</t>
  </si>
  <si>
    <t xml:space="preserve">Bare Copper Earth Wire / Cable</t>
  </si>
  <si>
    <t xml:space="preserve">16mm², 25mm², 35mm², 50mm², 70mm², 95m</t>
  </si>
  <si>
    <t xml:space="preserve">Bare Copper, Class 2,</t>
  </si>
  <si>
    <t xml:space="preserve">4-Bare_Copper_Earth_Wire_and_Cable</t>
  </si>
  <si>
    <t xml:space="preserve">https://res.cloudinary.com/x5utb1ld/image/upload/v1792688445/4-Bare_Copper_Earth_Wire_and_Cable.webp</t>
  </si>
  <si>
    <t xml:space="preserve">Copper_Earthing_Materials_Datasheet_12_Items.docx, row 4</t>
  </si>
  <si>
    <t xml:space="preserve">P-044</t>
  </si>
  <si>
    <t xml:space="preserve">Insulated Copper Earth Cable</t>
  </si>
  <si>
    <t xml:space="preserve">insulated-copper-earth-cable</t>
  </si>
  <si>
    <t xml:space="preserve">16mm², 25mm², 35mm², 50mm², 70mm² - PV</t>
  </si>
  <si>
    <t xml:space="preserve">PVC Insulated Copper,</t>
  </si>
  <si>
    <t xml:space="preserve">5-Insulated_Copper_Earth_Cable</t>
  </si>
  <si>
    <t xml:space="preserve">https://res.cloudinary.com/x5utb1ld/image/upload/v1792688615/5-Insulated_Copper_Earth_Cable.webp</t>
  </si>
  <si>
    <t xml:space="preserve">Copper_Earthing_Materials_Datasheet_12_Items.docx, row 5</t>
  </si>
  <si>
    <t xml:space="preserve">P-045</t>
  </si>
  <si>
    <t xml:space="preserve">Heavy Copper Earth Rod Clamp</t>
  </si>
  <si>
    <t xml:space="preserve">heavy-copper-earth-rod-clamp</t>
  </si>
  <si>
    <t xml:space="preserve">Heavy Copper Earth Rod Clamp -</t>
  </si>
  <si>
    <t xml:space="preserve">For Rod Dia 14mm-20mm | Tape 25x3 to 5</t>
  </si>
  <si>
    <t xml:space="preserve">Gunmetal / Brass, High</t>
  </si>
  <si>
    <t xml:space="preserve">6-Heavy-Copper_Earth_Rod_Clamp</t>
  </si>
  <si>
    <t xml:space="preserve">https://res.cloudinary.com/x5utb1ld/image/upload/v1792688793/6-Heavy-Copper_Earth_Rod_Clamp.webp</t>
  </si>
  <si>
    <t xml:space="preserve">Copper_Earthing_Materials_Datasheet_12_Items.docx, row 6</t>
  </si>
  <si>
    <t xml:space="preserve">Name ends with a dash in the source.</t>
  </si>
  <si>
    <t xml:space="preserve">P-046</t>
  </si>
  <si>
    <t xml:space="preserve">Copper Earth Tape Clamp</t>
  </si>
  <si>
    <t xml:space="preserve">copper-earth-tape-clamp</t>
  </si>
  <si>
    <t xml:space="preserve">Copper Earth Tape Clamp / Tee</t>
  </si>
  <si>
    <t xml:space="preserve">25x3 to 50x6mm | Tee Clamp, Cross Clam</t>
  </si>
  <si>
    <t xml:space="preserve">Gunmetal / Brass, BS 9</t>
  </si>
  <si>
    <t xml:space="preserve">7-Copper_Earth_Tape_Clamp_and_Tee</t>
  </si>
  <si>
    <t xml:space="preserve">https://res.cloudinary.com/x5utb1ld/image/upload/v1792691450/7-Copper_Earth_Tape_Clamp_and_Tee.webp</t>
  </si>
  <si>
    <t xml:space="preserve">Copper_Earthing_Materials_Datasheet_12_Items.docx, row 7</t>
  </si>
  <si>
    <t xml:space="preserve">P-047</t>
  </si>
  <si>
    <t xml:space="preserve">Copper Earth Bar / Busbar</t>
  </si>
  <si>
    <t xml:space="preserve">copper-earth-bar-busbar</t>
  </si>
  <si>
    <t xml:space="preserve">Copper Earth Bar / Busbar + Di</t>
  </si>
  <si>
    <t xml:space="preserve">4Way, 6Way, 8Way, 12Way | 25x6mm, 50x6</t>
  </si>
  <si>
    <t xml:space="preserve">Hard Drawn Copper, Dri</t>
  </si>
  <si>
    <t xml:space="preserve">8-Copper_Earth_Bar_and_Busbar</t>
  </si>
  <si>
    <t xml:space="preserve">https://res.cloudinary.com/x5utb1ld/image/upload/v1792691727/8-Copper_Earth_Bar_and_Busbar.webp</t>
  </si>
  <si>
    <t xml:space="preserve">Copper_Earthing_Materials_Datasheet_12_Items.docx, row 8</t>
  </si>
  <si>
    <t xml:space="preserve">P-048</t>
  </si>
  <si>
    <t xml:space="preserve">Pure Copper Earth Plate</t>
  </si>
  <si>
    <t xml:space="preserve">pure-copper-earth-plate</t>
  </si>
  <si>
    <t xml:space="preserve">Copper Earth Plate - Pure Copper</t>
  </si>
  <si>
    <t xml:space="preserve">300x300x3mm, 600x600x3mm, 600x600x6mm,</t>
  </si>
  <si>
    <t xml:space="preserve">99.9% Pure Copper Plat</t>
  </si>
  <si>
    <t xml:space="preserve">9-Copper_Earth_Plate_-_Pure_Copper</t>
  </si>
  <si>
    <t xml:space="preserve">https://res.cloudinary.com/x5utb1ld/image/upload/v1792691881/9-Copper_Earth_Plate_-_Pure_Copper.webp</t>
  </si>
  <si>
    <t xml:space="preserve">Copper_Earthing_Materials_Datasheet_12_Items.docx, row 9</t>
  </si>
  <si>
    <t xml:space="preserve">P-049</t>
  </si>
  <si>
    <t xml:space="preserve">Earth Inspection Pit</t>
  </si>
  <si>
    <t xml:space="preserve">earth-inspection-pit</t>
  </si>
  <si>
    <t xml:space="preserve">Earth Pit / Inspection Pit</t>
  </si>
  <si>
    <t xml:space="preserve">Concrete, Polymer, HDPE - Square 300x3</t>
  </si>
  <si>
    <t xml:space="preserve">Concrete / Polymer Hea</t>
  </si>
  <si>
    <t xml:space="preserve">10-Earth_Pit_and_Inspection_Pit</t>
  </si>
  <si>
    <t xml:space="preserve">https://res.cloudinary.com/x5utb1ld/image/upload/v1792692169/10-Earth_Pit_and_Inspection_Pit.webp</t>
  </si>
  <si>
    <t xml:space="preserve">Copper_Earthing_Materials_Datasheet_12_Items.docx, row 10</t>
  </si>
  <si>
    <t xml:space="preserve">P-050</t>
  </si>
  <si>
    <t xml:space="preserve">Earth Enhancement Compound (Bentonite / Marconite)</t>
  </si>
  <si>
    <t xml:space="preserve">earth-enhancement-compound-bentonite-marconite</t>
  </si>
  <si>
    <t xml:space="preserve">Bentonite Clay / Marconite /</t>
  </si>
  <si>
    <t xml:space="preserve">25kg Bag - Bentonite, Marconite, Furse</t>
  </si>
  <si>
    <t xml:space="preserve">Low Resistivity &lt;3 Ohm</t>
  </si>
  <si>
    <t xml:space="preserve">11-Bentonite_Clay_and_Marconite</t>
  </si>
  <si>
    <t xml:space="preserve">https://res.cloudinary.com/x5utb1ld/image/upload/v1792692482/11-Bentonite_Clay_and_Marconite.webp</t>
  </si>
  <si>
    <t xml:space="preserve">Copper_Earthing_Materials_Datasheet_12_Items.docx, row 11</t>
  </si>
  <si>
    <t xml:space="preserve">Name cut off after "Marconite /".</t>
  </si>
  <si>
    <t xml:space="preserve">P-051</t>
  </si>
  <si>
    <t xml:space="preserve">Lightning Protection Air Rod, Copper</t>
  </si>
  <si>
    <t xml:space="preserve">lightning-protection-air-rod-copper</t>
  </si>
  <si>
    <t xml:space="preserve">Lightning Protection - Copper</t>
  </si>
  <si>
    <t xml:space="preserve">Air Rod 1m, 2m, 3m | Copper / Copper B</t>
  </si>
  <si>
    <t xml:space="preserve">Pure Copper / Copper B</t>
  </si>
  <si>
    <t xml:space="preserve">12-Lightning_Protection_-_Copper</t>
  </si>
  <si>
    <t xml:space="preserve">https://res.cloudinary.com/x5utb1ld/image/upload/v1792692648/12-Lightning_Protection_-_Copper.webp</t>
  </si>
  <si>
    <t xml:space="preserve">Copper_Earthing_Materials_Datasheet_12_Items.docx, row 12</t>
  </si>
  <si>
    <t xml:space="preserve">P-052</t>
  </si>
  <si>
    <t xml:space="preserve">PPE &amp; Safety</t>
  </si>
  <si>
    <t xml:space="preserve">Electrical Safety Helmet</t>
  </si>
  <si>
    <t xml:space="preserve">electrical-safety-helmet</t>
  </si>
  <si>
    <t xml:space="preserve">With Chin Strap, Adj</t>
  </si>
  <si>
    <t xml:space="preserve">ABS, 440V Insulate</t>
  </si>
  <si>
    <t xml:space="preserve">1-Electrical_Safety_Helmet</t>
  </si>
  <si>
    <t xml:space="preserve">https://res.cloudinary.com/x5utb1ld/image/upload/v1792722434/1-Electrical_Safety_Helmet.webp</t>
  </si>
  <si>
    <t xml:space="preserve">Voltage rating verified by client (24 Oct 2026). Standards unverified</t>
  </si>
  <si>
    <t xml:space="preserve">PPE_Safety_Product_List_12_Items.docx, row 1</t>
  </si>
  <si>
    <t xml:space="preserve">Home tile candidate for Industrial (photo 466x577 px, informal). Replace with a cleaner shot when available.</t>
  </si>
  <si>
    <t xml:space="preserve">P-053</t>
  </si>
  <si>
    <t xml:space="preserve">Insulated Electrical Gloves</t>
  </si>
  <si>
    <t xml:space="preserve">insulated-electrical-gloves</t>
  </si>
  <si>
    <t xml:space="preserve">Insulated Electrical Gloves 1000</t>
  </si>
  <si>
    <t xml:space="preserve">Class 0, 1000V, Size</t>
  </si>
  <si>
    <t xml:space="preserve">Natural Rubber, CE</t>
  </si>
  <si>
    <t xml:space="preserve">2-Insulated_Electrical_Gloves_1000</t>
  </si>
  <si>
    <t xml:space="preserve">https://res.cloudinary.com/x5utb1ld/image/upload/v1792722692/2-Insulated_Electrical_Gloves_1000.webp</t>
  </si>
  <si>
    <t xml:space="preserve">PPE_Safety_Product_List_12_Items.docx, row 2</t>
  </si>
  <si>
    <t xml:space="preserve">Name cut off at "1000" (likely 1000V). Client states voltage ratings are verified.</t>
  </si>
  <si>
    <t xml:space="preserve">P-054</t>
  </si>
  <si>
    <t xml:space="preserve">Steel Toe Leather Safety Boots</t>
  </si>
  <si>
    <t xml:space="preserve">steel-toe-leather-safety-boots</t>
  </si>
  <si>
    <t xml:space="preserve">Safety Boots - Steel Toe Leather</t>
  </si>
  <si>
    <t xml:space="preserve">Size 40-46, Anti-Sli</t>
  </si>
  <si>
    <t xml:space="preserve">Leather, Steel Toe</t>
  </si>
  <si>
    <t xml:space="preserve">3-Safety_Boots_-_Steel_Toe_Leather</t>
  </si>
  <si>
    <t xml:space="preserve">https://res.cloudinary.com/x5utb1ld/image/upload/v1792723272/3-Safety_Boots_-_Steel_Toe_Leather.webp</t>
  </si>
  <si>
    <t xml:space="preserve">PPE_Safety_Product_List_12_Items.docx, row 3</t>
  </si>
  <si>
    <t xml:space="preserve">P-055</t>
  </si>
  <si>
    <t xml:space="preserve">PVC Rain Safety Boots</t>
  </si>
  <si>
    <t xml:space="preserve">pvc-rain-safety-boots</t>
  </si>
  <si>
    <t xml:space="preserve">Safety Boots - PVC Rain Boot</t>
  </si>
  <si>
    <t xml:space="preserve">Size 40-46, Knee Hei</t>
  </si>
  <si>
    <t xml:space="preserve">PVC Waterproof, St</t>
  </si>
  <si>
    <t xml:space="preserve">4-Safety_Boots_-_PVC_Rain_Boot</t>
  </si>
  <si>
    <t xml:space="preserve">https://res.cloudinary.com/x5utb1ld/image/upload/v1792724145/4-Safety_Boots_-_PVC_Rain_Boot.webp</t>
  </si>
  <si>
    <t xml:space="preserve">PPE_Safety_Product_List_12_Items.docx, row 4</t>
  </si>
  <si>
    <t xml:space="preserve">P-056</t>
  </si>
  <si>
    <t xml:space="preserve">Anti-Fog Safety Goggles</t>
  </si>
  <si>
    <t xml:space="preserve">anti-fog-safety-goggles</t>
  </si>
  <si>
    <t xml:space="preserve">Safety Goggles - Anti-Fog Clear</t>
  </si>
  <si>
    <t xml:space="preserve">Anti-Scratch, Anti-Fog</t>
  </si>
  <si>
    <t xml:space="preserve">Polycarbonate, EN1</t>
  </si>
  <si>
    <t xml:space="preserve">5-Safety_Goggles_-_Anti-Fog_Clear</t>
  </si>
  <si>
    <t xml:space="preserve">https://res.cloudinary.com/x5utb1ld/image/upload/v1792724586/5-Safety_Goggles_-_Anti-Fog_Clear.webp</t>
  </si>
  <si>
    <t xml:space="preserve">PPE_Safety_Product_List_12_Items.docx, row 5</t>
  </si>
  <si>
    <t xml:space="preserve">P-057</t>
  </si>
  <si>
    <t xml:space="preserve">High-Visibility Safety Vest</t>
  </si>
  <si>
    <t xml:space="preserve">high-visibility-safety-vest</t>
  </si>
  <si>
    <t xml:space="preserve">High Visibility Safety Vest</t>
  </si>
  <si>
    <t xml:space="preserve">L-XXL, Reflective</t>
  </si>
  <si>
    <t xml:space="preserve">Polyester 120gsm,</t>
  </si>
  <si>
    <t xml:space="preserve">6-High_Visibility_Safety_Vest</t>
  </si>
  <si>
    <t xml:space="preserve">https://res.cloudinary.com/x5utb1ld/image/upload/v1792725384/6-High_Visibility_Safety_Vest.webp</t>
  </si>
  <si>
    <t xml:space="preserve">PPE_Safety_Product_List_12_Items.docx, row 6</t>
  </si>
  <si>
    <t xml:space="preserve">P-058</t>
  </si>
  <si>
    <t xml:space="preserve">Electrical Coveralls</t>
  </si>
  <si>
    <t xml:space="preserve">electrical-coveralls</t>
  </si>
  <si>
    <t xml:space="preserve">Coveralls / Overall Suit - Elect</t>
  </si>
  <si>
    <t xml:space="preserve">L-XXL, Long Sleeve,</t>
  </si>
  <si>
    <t xml:space="preserve">100% Cotton / Poly</t>
  </si>
  <si>
    <t xml:space="preserve">7-Coveralls_Overall_Suit_-_Electrical</t>
  </si>
  <si>
    <t xml:space="preserve">https://res.cloudinary.com/x5utb1ld/image/upload/v1792726151/7-Coveralls_Overall_Suit_-_Electrical.webp</t>
  </si>
  <si>
    <t xml:space="preserve">PPE_Safety_Product_List_12_Items.docx, row 7</t>
  </si>
  <si>
    <t xml:space="preserve">P-059</t>
  </si>
  <si>
    <t xml:space="preserve">Disposable Coveralls</t>
  </si>
  <si>
    <t xml:space="preserve">disposable-coveralls</t>
  </si>
  <si>
    <t xml:space="preserve">Coveralls - Disposable / Chem</t>
  </si>
  <si>
    <t xml:space="preserve">L-XXL, Hooded, Elast</t>
  </si>
  <si>
    <t xml:space="preserve">PP Non-Woven, Chem</t>
  </si>
  <si>
    <t xml:space="preserve">8-Coveralls_-_Disposable_Chem</t>
  </si>
  <si>
    <t xml:space="preserve">https://res.cloudinary.com/x5utb1ld/image/upload/v1792727097/8-Coveralls_-_Disposable_Chem.webp</t>
  </si>
  <si>
    <t xml:space="preserve">PPE_Safety_Product_List_12_Items.docx, row 8</t>
  </si>
  <si>
    <t xml:space="preserve">P-060</t>
  </si>
  <si>
    <t xml:space="preserve">Electrical Safety Harness</t>
  </si>
  <si>
    <t xml:space="preserve">electrical-safety-harness</t>
  </si>
  <si>
    <t xml:space="preserve">Electrical Safety Harness / Belt</t>
  </si>
  <si>
    <t xml:space="preserve">Full Body, 2 D-Rings</t>
  </si>
  <si>
    <t xml:space="preserve">Polyester Webbing,</t>
  </si>
  <si>
    <t xml:space="preserve">9-Electrical_Safety_Harness_Belt</t>
  </si>
  <si>
    <t xml:space="preserve">https://res.cloudinary.com/x5utb1ld/image/upload/v1792727431/9-Electrical_Safety_Harness_Belt.webp</t>
  </si>
  <si>
    <t xml:space="preserve">PPE_Safety_Product_List_12_Items.docx, row 9</t>
  </si>
  <si>
    <t xml:space="preserve">P-061</t>
  </si>
  <si>
    <t xml:space="preserve">Ear Muffs and N95 Dust Mask Combo</t>
  </si>
  <si>
    <t xml:space="preserve">ear-muffs-and-n95-dust-mask-combo</t>
  </si>
  <si>
    <t xml:space="preserve">Ear Muffs / Dust Mask N95 Combo</t>
  </si>
  <si>
    <t xml:space="preserve">NRR 25-32dB + N95 Va</t>
  </si>
  <si>
    <t xml:space="preserve">ABS Foam + Non-Wov</t>
  </si>
  <si>
    <t xml:space="preserve">10-Ear_Muffs_Dust_Mask_N95_Combo</t>
  </si>
  <si>
    <t xml:space="preserve">https://res.cloudinary.com/x5utb1ld/image/upload/v1792727954/10-Ear_Muffs_Dust_Mask_N95_Combo.webp</t>
  </si>
  <si>
    <t xml:space="preserve">PPE_Safety_Product_List_12_Items.docx, row 10</t>
  </si>
  <si>
    <t xml:space="preserve">P-062</t>
  </si>
  <si>
    <t xml:space="preserve">Cut-Resistant Safety Gloves</t>
  </si>
  <si>
    <t xml:space="preserve">cut-resistant-safety-gloves</t>
  </si>
  <si>
    <t xml:space="preserve">Safety Hand Gloves - Cut Resista</t>
  </si>
  <si>
    <t xml:space="preserve">Cut Level 5, M-XXL</t>
  </si>
  <si>
    <t xml:space="preserve">HPPE + Glass Fiber</t>
  </si>
  <si>
    <t xml:space="preserve">11-Safety_Hand_Gloves_-_Cut_Resista</t>
  </si>
  <si>
    <t xml:space="preserve">https://res.cloudinary.com/x5utb1ld/image/upload/v1792728203/11-Safety_Hand_Gloves_-_Cut_Resista.webp</t>
  </si>
  <si>
    <t xml:space="preserve">PPE_Safety_Product_List_12_Items.docx, row 11</t>
  </si>
  <si>
    <t xml:space="preserve">P-063</t>
  </si>
  <si>
    <t xml:space="preserve">First Aid Kit with Electrical Warning Tape</t>
  </si>
  <si>
    <t xml:space="preserve">Typo in source ("Warniing") fixed</t>
  </si>
  <si>
    <t xml:space="preserve">first-aid-kit-with-electrical-warning-tape</t>
  </si>
  <si>
    <t xml:space="preserve">First Aid Kit + Electrical Warniing</t>
  </si>
  <si>
    <t xml:space="preserve">50 Items + 100M Tape</t>
  </si>
  <si>
    <t xml:space="preserve">Plastic Box + PVC</t>
  </si>
  <si>
    <t xml:space="preserve">12-First_Aid_Kit_Electrical_Warniing</t>
  </si>
  <si>
    <t xml:space="preserve">https://res.cloudinary.com/x5utb1ld/image/upload/v1792728340/12-First_Aid_Kit_Electrical_Warniing.webp</t>
  </si>
  <si>
    <t xml:space="preserve">PPE_Safety_Product_List_12_Items.docx, row 12</t>
  </si>
  <si>
    <t xml:space="preserve">Reason</t>
  </si>
  <si>
    <t xml:space="preserve">EXAM Solar 100W</t>
  </si>
  <si>
    <t xml:space="preserve">KG-SL-100-AC</t>
  </si>
  <si>
    <t xml:space="preserve">Demo / example row in the client sheet. Not a product. Do not publish.</t>
  </si>
  <si>
    <t xml:space="preserve">CCTV Hard Disk (500GB to 4TB)</t>
  </si>
  <si>
    <t xml:space="preserve">Not listed in the updated CCTV sheet. Client does not have it at the moment, so no photo. Can be added later as a content update.</t>
  </si>
  <si>
    <t xml:space="preserve">CCTV Power Supply &amp; Cable Kit</t>
  </si>
  <si>
    <t xml:space="preserve">Not listed in the updated CCTV sheet. Client does not have it at the moment. Can be added later.</t>
  </si>
  <si>
    <t xml:space="preserve">Smart Camera + Lighting, Indoor</t>
  </si>
  <si>
    <t xml:space="preserve">CCTV Camera, Bullet Outdoor and Wireless WiFi/4G (earlier items 2 and 3)</t>
  </si>
  <si>
    <t xml:space="preserve">Replaced in the updated sheet by the AI Solar Camera and Solar 3PTZ products.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</si>
</sst>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D5C4A"/>
        <bgColor rgb="FF008080"/>
      </patternFill>
    </fill>
    <fill>
      <patternFill patternType="solid">
        <fgColor rgb="FFFFF1CC"/>
        <bgColor rgb="FFFDE2E2"/>
      </patternFill>
    </fill>
    <fill>
      <patternFill patternType="solid">
        <fgColor rgb="FFE3F4EA"/>
        <bgColor rgb="FFCCFFFF"/>
      </patternFill>
    </fill>
    <fill>
      <patternFill patternType="solid">
        <fgColor rgb="FFFDE2E2"/>
        <bgColor rgb="FFFFF1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D5C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E2E2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 patternType="solid">
          <fgColor rgb="FFE3F4E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1CC"/>
      <rgbColor rgb="FFE3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D5C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COUNTIFS(Products!$B$2:$B$64,"Solar Lighting",Products!$C$2:$C$64,"Street Lights")</f>
        <v>17</v>
      </c>
    </row>
    <row r="6" customFormat="false" ht="15" hidden="false" customHeight="false" outlineLevel="0" collapsed="false">
      <c r="A6" s="4" t="s">
        <v>5</v>
      </c>
      <c r="B6" s="4" t="n">
        <f aca="false">COUNTIFS(Products!$B$2:$B$64,"CCTV &amp; Security",Products!$C$2:$C$64,"Cameras")</f>
        <v>2</v>
      </c>
    </row>
    <row r="7" customFormat="false" ht="15" hidden="false" customHeight="false" outlineLevel="0" collapsed="false">
      <c r="A7" s="4" t="s">
        <v>6</v>
      </c>
      <c r="B7" s="4" t="n">
        <f aca="false">COUNTIFS(Products!$B$2:$B$64,"CCTV &amp; Security",Products!$C$2:$C$64,"Camera + Lighting")</f>
        <v>4</v>
      </c>
    </row>
    <row r="8" customFormat="false" ht="15" hidden="false" customHeight="false" outlineLevel="0" collapsed="false">
      <c r="A8" s="4" t="s">
        <v>7</v>
      </c>
      <c r="B8" s="4" t="n">
        <f aca="false">COUNTIFS(Products!$B$2:$B$64,"CCTV &amp; Security",Products!$C$2:$C$64,"Recorders &amp; Accessories")</f>
        <v>1</v>
      </c>
    </row>
    <row r="9" customFormat="false" ht="15" hidden="false" customHeight="false" outlineLevel="0" collapsed="false">
      <c r="A9" s="4" t="s">
        <v>8</v>
      </c>
      <c r="B9" s="4" t="n">
        <f aca="false">COUNTIFS(Products!$B$2:$B$64,"Electrical Supplies",Products!$C$2:$C$64,"Cables &amp; Wiring")</f>
        <v>3</v>
      </c>
    </row>
    <row r="10" customFormat="false" ht="15" hidden="false" customHeight="false" outlineLevel="0" collapsed="false">
      <c r="A10" s="4" t="s">
        <v>9</v>
      </c>
      <c r="B10" s="4" t="n">
        <f aca="false">COUNTIFS(Products!$B$2:$B$64,"Electrical Supplies",Products!$C$2:$C$64,"Switches, Sockets &amp; Conduit")</f>
        <v>4</v>
      </c>
    </row>
    <row r="11" customFormat="false" ht="15" hidden="false" customHeight="false" outlineLevel="0" collapsed="false">
      <c r="A11" s="4" t="s">
        <v>10</v>
      </c>
      <c r="B11" s="4" t="n">
        <f aca="false">COUNTIFS(Products!$B$2:$B$64,"Electrical Supplies",Products!$C$2:$C$64,"Distribution &amp; Protection")</f>
        <v>4</v>
      </c>
    </row>
    <row r="12" customFormat="false" ht="15" hidden="false" customHeight="false" outlineLevel="0" collapsed="false">
      <c r="A12" s="4" t="s">
        <v>11</v>
      </c>
      <c r="B12" s="4" t="n">
        <f aca="false">COUNTIFS(Products!$B$2:$B$64,"Electrical Supplies",Products!$C$2:$C$64,"Power Backup &amp; Protection")</f>
        <v>2</v>
      </c>
    </row>
    <row r="13" customFormat="false" ht="15" hidden="false" customHeight="false" outlineLevel="0" collapsed="false">
      <c r="A13" s="4" t="s">
        <v>12</v>
      </c>
      <c r="B13" s="4" t="n">
        <f aca="false">COUNTIFS(Products!$B$2:$B$64,"Electrical Supplies",Products!$C$2:$C$64,"Lighting &amp; Fans")</f>
        <v>2</v>
      </c>
    </row>
    <row r="14" customFormat="false" ht="15" hidden="false" customHeight="false" outlineLevel="0" collapsed="false">
      <c r="A14" s="4" t="s">
        <v>13</v>
      </c>
      <c r="B14" s="4" t="n">
        <f aca="false">COUNTIFS(Products!$B$2:$B$64,"Industrial Supply",Products!$C$2:$C$64,"PPE &amp; Safety")</f>
        <v>12</v>
      </c>
    </row>
    <row r="15" customFormat="false" ht="15" hidden="false" customHeight="false" outlineLevel="0" collapsed="false">
      <c r="A15" s="4" t="s">
        <v>14</v>
      </c>
      <c r="B15" s="4" t="n">
        <f aca="false">COUNTIFS(Products!$B$2:$B$64,"Industrial Supply",Products!$C$2:$C$64,"Earthing &amp; Lightning Protection")</f>
        <v>12</v>
      </c>
    </row>
    <row r="16" customFormat="false" ht="15" hidden="false" customHeight="false" outlineLevel="0" collapsed="false">
      <c r="A16" s="5" t="s">
        <v>15</v>
      </c>
      <c r="B16" s="5" t="n">
        <f aca="false">SUM(B5:B15)</f>
        <v>63</v>
      </c>
    </row>
    <row r="18" customFormat="false" ht="15" hidden="false" customHeight="false" outlineLevel="0" collapsed="false">
      <c r="A18" s="3" t="s">
        <v>16</v>
      </c>
      <c r="B18" s="3" t="s">
        <v>17</v>
      </c>
    </row>
    <row r="19" customFormat="false" ht="15" hidden="false" customHeight="false" outlineLevel="0" collapsed="false">
      <c r="A19" s="4" t="s">
        <v>18</v>
      </c>
      <c r="B19" s="4" t="n">
        <f aca="false">COUNTIF(Products!$N$2:$N$64,"Missing")</f>
        <v>0</v>
      </c>
    </row>
    <row r="20" customFormat="false" ht="15" hidden="false" customHeight="false" outlineLevel="0" collapsed="false">
      <c r="A20" s="4" t="s">
        <v>19</v>
      </c>
      <c r="B20" s="4" t="n">
        <f aca="false">COUNTIF(Products!$N$2:$N$64,"Link present*")</f>
        <v>57</v>
      </c>
    </row>
    <row r="21" customFormat="false" ht="15" hidden="false" customHeight="false" outlineLevel="0" collapsed="false">
      <c r="A21" s="4" t="s">
        <v>20</v>
      </c>
      <c r="B21" s="4" t="n">
        <f aca="false">COUNTIF(Products!$N$2:$N$64,"Real*")</f>
        <v>6</v>
      </c>
    </row>
    <row r="22" customFormat="false" ht="15" hidden="false" customHeight="false" outlineLevel="0" collapsed="false">
      <c r="A22" s="4" t="s">
        <v>21</v>
      </c>
      <c r="B22" s="4" t="n">
        <f aca="false">COUNTIF(Products!$E$2:$E$64,"Cut off*")</f>
        <v>11</v>
      </c>
    </row>
    <row r="23" customFormat="false" ht="15" hidden="false" customHeight="false" outlineLevel="0" collapsed="false">
      <c r="A23" s="4" t="s">
        <v>22</v>
      </c>
      <c r="B23" s="4" t="n">
        <f aca="false">COUNTIF(Products!$K$2:$K$64,"Possibly*")</f>
        <v>24</v>
      </c>
    </row>
    <row r="24" customFormat="false" ht="15" hidden="false" customHeight="false" outlineLevel="0" collapsed="false">
      <c r="A24" s="4" t="s">
        <v>23</v>
      </c>
      <c r="B24" s="4" t="n">
        <f aca="false">COUNTIF(Products!$R$2:$R$64,"Unverified*")</f>
        <v>22</v>
      </c>
    </row>
    <row r="25" customFormat="false" ht="15" hidden="false" customHeight="false" outlineLevel="0" collapsed="false">
      <c r="A25" s="4" t="s">
        <v>24</v>
      </c>
      <c r="B25" s="4" t="n">
        <f aca="false">COUNTIF(Products!$R$2:$R$64,"Voltage*")</f>
        <v>2</v>
      </c>
    </row>
    <row r="26" customFormat="false" ht="15" hidden="false" customHeight="false" outlineLevel="0" collapsed="false">
      <c r="A26" s="4" t="s">
        <v>25</v>
      </c>
      <c r="B26" s="4" t="n">
        <f aca="false">COUNTIF(Products!$R$2:$R$64,"Verify*")</f>
        <v>3</v>
      </c>
    </row>
    <row r="27" customFormat="false" ht="15" hidden="false" customHeight="false" outlineLevel="0" collapsed="false">
      <c r="A27" s="4" t="s">
        <v>26</v>
      </c>
      <c r="B27" s="4" t="n">
        <f aca="false">COUNT(Products!$Q$2:$Q$64)</f>
        <v>6</v>
      </c>
    </row>
    <row r="29" customFormat="false" ht="15" hidden="false" customHeight="false" outlineLevel="0" collapsed="false">
      <c r="A29" s="6" t="s">
        <v>27</v>
      </c>
    </row>
    <row r="30" customFormat="false" ht="15" hidden="false" customHeight="false" outlineLevel="0" collapsed="false">
      <c r="A30" s="6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0" min="10" style="0" width="60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12"/>
    <col collapsed="false" customWidth="true" hidden="false" outlineLevel="0" max="15" min="14" style="0" width="30"/>
    <col collapsed="false" customWidth="true" hidden="false" outlineLevel="0" max="16" min="16" style="0" width="50"/>
    <col collapsed="false" customWidth="true" hidden="false" outlineLevel="0" max="17" min="17" style="0" width="10"/>
    <col collapsed="false" customWidth="true" hidden="false" outlineLevel="0" max="18" min="18" style="0" width="36"/>
    <col collapsed="false" customWidth="true" hidden="false" outlineLevel="0" max="19" min="19" style="0" width="44"/>
    <col collapsed="false" customWidth="true" hidden="false" outlineLevel="0" max="20" min="20" style="0" width="50"/>
  </cols>
  <sheetData>
    <row r="1" customFormat="false" ht="33.75" hidden="false" customHeight="true" outlineLevel="0" collapsed="false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  <c r="K1" s="7" t="s">
        <v>39</v>
      </c>
      <c r="L1" s="7" t="s">
        <v>40</v>
      </c>
      <c r="M1" s="7" t="s">
        <v>41</v>
      </c>
      <c r="N1" s="7" t="s">
        <v>42</v>
      </c>
      <c r="O1" s="7" t="s">
        <v>43</v>
      </c>
      <c r="P1" s="7" t="s">
        <v>44</v>
      </c>
      <c r="Q1" s="7" t="s">
        <v>45</v>
      </c>
      <c r="R1" s="7" t="s">
        <v>46</v>
      </c>
      <c r="S1" s="7" t="s">
        <v>47</v>
      </c>
      <c r="T1" s="7" t="s">
        <v>48</v>
      </c>
    </row>
    <row r="2" customFormat="false" ht="22.35" hidden="false" customHeight="false" outlineLevel="0" collapsed="false">
      <c r="A2" s="8" t="s">
        <v>49</v>
      </c>
      <c r="B2" s="8" t="s">
        <v>50</v>
      </c>
      <c r="C2" s="8" t="s">
        <v>51</v>
      </c>
      <c r="D2" s="8" t="s">
        <v>52</v>
      </c>
      <c r="E2" s="8" t="s">
        <v>53</v>
      </c>
      <c r="F2" s="8" t="s">
        <v>54</v>
      </c>
      <c r="G2" s="8" t="s">
        <v>55</v>
      </c>
      <c r="H2" s="8" t="s">
        <v>56</v>
      </c>
      <c r="I2" s="8" t="s">
        <v>57</v>
      </c>
      <c r="J2" s="8" t="s">
        <v>58</v>
      </c>
      <c r="K2" s="8" t="s">
        <v>53</v>
      </c>
      <c r="L2" s="8"/>
      <c r="M2" s="8" t="s">
        <v>59</v>
      </c>
      <c r="N2" s="9" t="s">
        <v>60</v>
      </c>
      <c r="O2" s="8" t="s">
        <v>61</v>
      </c>
      <c r="P2" s="8" t="s">
        <v>62</v>
      </c>
      <c r="Q2" s="8"/>
      <c r="R2" s="8" t="s">
        <v>63</v>
      </c>
      <c r="S2" s="8" t="s">
        <v>64</v>
      </c>
      <c r="T2" s="8"/>
    </row>
    <row r="3" customFormat="false" ht="22.35" hidden="false" customHeight="false" outlineLevel="0" collapsed="false">
      <c r="A3" s="8" t="s">
        <v>65</v>
      </c>
      <c r="B3" s="8" t="s">
        <v>50</v>
      </c>
      <c r="C3" s="8" t="s">
        <v>51</v>
      </c>
      <c r="D3" s="8" t="s">
        <v>66</v>
      </c>
      <c r="E3" s="8" t="s">
        <v>53</v>
      </c>
      <c r="F3" s="8" t="s">
        <v>67</v>
      </c>
      <c r="G3" s="8" t="s">
        <v>55</v>
      </c>
      <c r="H3" s="8" t="s">
        <v>68</v>
      </c>
      <c r="I3" s="8" t="s">
        <v>69</v>
      </c>
      <c r="J3" s="8" t="s">
        <v>70</v>
      </c>
      <c r="K3" s="8" t="s">
        <v>53</v>
      </c>
      <c r="L3" s="8"/>
      <c r="M3" s="8" t="s">
        <v>59</v>
      </c>
      <c r="N3" s="9" t="s">
        <v>60</v>
      </c>
      <c r="O3" s="8" t="s">
        <v>71</v>
      </c>
      <c r="P3" s="8" t="s">
        <v>72</v>
      </c>
      <c r="Q3" s="8"/>
      <c r="R3" s="8" t="s">
        <v>63</v>
      </c>
      <c r="S3" s="8" t="s">
        <v>73</v>
      </c>
      <c r="T3" s="8"/>
    </row>
    <row r="4" customFormat="false" ht="22.35" hidden="false" customHeight="false" outlineLevel="0" collapsed="false">
      <c r="A4" s="8" t="s">
        <v>74</v>
      </c>
      <c r="B4" s="8" t="s">
        <v>50</v>
      </c>
      <c r="C4" s="8" t="s">
        <v>51</v>
      </c>
      <c r="D4" s="8" t="s">
        <v>75</v>
      </c>
      <c r="E4" s="8" t="s">
        <v>53</v>
      </c>
      <c r="F4" s="8" t="s">
        <v>76</v>
      </c>
      <c r="G4" s="8" t="s">
        <v>55</v>
      </c>
      <c r="H4" s="8" t="s">
        <v>77</v>
      </c>
      <c r="I4" s="8" t="s">
        <v>78</v>
      </c>
      <c r="J4" s="8" t="s">
        <v>79</v>
      </c>
      <c r="K4" s="8" t="s">
        <v>53</v>
      </c>
      <c r="L4" s="8"/>
      <c r="M4" s="8" t="s">
        <v>59</v>
      </c>
      <c r="N4" s="9" t="s">
        <v>60</v>
      </c>
      <c r="O4" s="8" t="s">
        <v>80</v>
      </c>
      <c r="P4" s="8" t="s">
        <v>81</v>
      </c>
      <c r="Q4" s="8"/>
      <c r="R4" s="8" t="s">
        <v>63</v>
      </c>
      <c r="S4" s="8" t="s">
        <v>82</v>
      </c>
      <c r="T4" s="8"/>
    </row>
    <row r="5" customFormat="false" ht="22.35" hidden="false" customHeight="false" outlineLevel="0" collapsed="false">
      <c r="A5" s="8" t="s">
        <v>83</v>
      </c>
      <c r="B5" s="8" t="s">
        <v>50</v>
      </c>
      <c r="C5" s="8" t="s">
        <v>51</v>
      </c>
      <c r="D5" s="8" t="s">
        <v>84</v>
      </c>
      <c r="E5" s="8" t="s">
        <v>53</v>
      </c>
      <c r="F5" s="8" t="s">
        <v>85</v>
      </c>
      <c r="G5" s="8" t="s">
        <v>55</v>
      </c>
      <c r="H5" s="8" t="s">
        <v>86</v>
      </c>
      <c r="I5" s="8" t="s">
        <v>87</v>
      </c>
      <c r="J5" s="8" t="s">
        <v>88</v>
      </c>
      <c r="K5" s="8" t="s">
        <v>53</v>
      </c>
      <c r="L5" s="8"/>
      <c r="M5" s="8" t="s">
        <v>59</v>
      </c>
      <c r="N5" s="10" t="s">
        <v>89</v>
      </c>
      <c r="O5" s="8" t="s">
        <v>90</v>
      </c>
      <c r="P5" s="8" t="s">
        <v>91</v>
      </c>
      <c r="Q5" s="10" t="n">
        <v>1</v>
      </c>
      <c r="R5" s="8" t="s">
        <v>63</v>
      </c>
      <c r="S5" s="8" t="s">
        <v>92</v>
      </c>
      <c r="T5" s="8"/>
    </row>
    <row r="6" customFormat="false" ht="22.35" hidden="false" customHeight="false" outlineLevel="0" collapsed="false">
      <c r="A6" s="8" t="s">
        <v>93</v>
      </c>
      <c r="B6" s="8" t="s">
        <v>50</v>
      </c>
      <c r="C6" s="8" t="s">
        <v>51</v>
      </c>
      <c r="D6" s="8" t="s">
        <v>94</v>
      </c>
      <c r="E6" s="8" t="s">
        <v>53</v>
      </c>
      <c r="F6" s="8" t="s">
        <v>95</v>
      </c>
      <c r="G6" s="8" t="s">
        <v>55</v>
      </c>
      <c r="H6" s="8" t="s">
        <v>96</v>
      </c>
      <c r="I6" s="8" t="s">
        <v>97</v>
      </c>
      <c r="J6" s="8" t="s">
        <v>98</v>
      </c>
      <c r="K6" s="8" t="s">
        <v>53</v>
      </c>
      <c r="L6" s="8"/>
      <c r="M6" s="8" t="s">
        <v>59</v>
      </c>
      <c r="N6" s="9" t="s">
        <v>60</v>
      </c>
      <c r="O6" s="8" t="s">
        <v>99</v>
      </c>
      <c r="P6" s="8" t="s">
        <v>100</v>
      </c>
      <c r="Q6" s="8"/>
      <c r="R6" s="8" t="s">
        <v>63</v>
      </c>
      <c r="S6" s="8" t="s">
        <v>101</v>
      </c>
      <c r="T6" s="8"/>
    </row>
    <row r="7" customFormat="false" ht="22.35" hidden="false" customHeight="false" outlineLevel="0" collapsed="false">
      <c r="A7" s="8" t="s">
        <v>102</v>
      </c>
      <c r="B7" s="8" t="s">
        <v>50</v>
      </c>
      <c r="C7" s="8" t="s">
        <v>51</v>
      </c>
      <c r="D7" s="8" t="s">
        <v>103</v>
      </c>
      <c r="E7" s="8" t="s">
        <v>53</v>
      </c>
      <c r="F7" s="8" t="s">
        <v>104</v>
      </c>
      <c r="G7" s="8" t="s">
        <v>55</v>
      </c>
      <c r="H7" s="8" t="s">
        <v>105</v>
      </c>
      <c r="I7" s="8" t="s">
        <v>106</v>
      </c>
      <c r="J7" s="8" t="s">
        <v>107</v>
      </c>
      <c r="K7" s="8" t="s">
        <v>53</v>
      </c>
      <c r="L7" s="8"/>
      <c r="M7" s="8" t="s">
        <v>59</v>
      </c>
      <c r="N7" s="9" t="s">
        <v>60</v>
      </c>
      <c r="O7" s="8" t="s">
        <v>108</v>
      </c>
      <c r="P7" s="8" t="s">
        <v>109</v>
      </c>
      <c r="Q7" s="8"/>
      <c r="R7" s="8" t="s">
        <v>63</v>
      </c>
      <c r="S7" s="8" t="s">
        <v>110</v>
      </c>
      <c r="T7" s="8"/>
    </row>
    <row r="8" customFormat="false" ht="22.35" hidden="false" customHeight="false" outlineLevel="0" collapsed="false">
      <c r="A8" s="8" t="s">
        <v>111</v>
      </c>
      <c r="B8" s="8" t="s">
        <v>50</v>
      </c>
      <c r="C8" s="8" t="s">
        <v>51</v>
      </c>
      <c r="D8" s="8" t="s">
        <v>112</v>
      </c>
      <c r="E8" s="8" t="s">
        <v>53</v>
      </c>
      <c r="F8" s="8" t="s">
        <v>113</v>
      </c>
      <c r="G8" s="8" t="s">
        <v>55</v>
      </c>
      <c r="H8" s="8" t="s">
        <v>114</v>
      </c>
      <c r="I8" s="8" t="s">
        <v>115</v>
      </c>
      <c r="J8" s="8" t="s">
        <v>116</v>
      </c>
      <c r="K8" s="8" t="s">
        <v>53</v>
      </c>
      <c r="L8" s="8"/>
      <c r="M8" s="8" t="s">
        <v>59</v>
      </c>
      <c r="N8" s="9" t="s">
        <v>60</v>
      </c>
      <c r="O8" s="8" t="s">
        <v>117</v>
      </c>
      <c r="P8" s="8" t="s">
        <v>118</v>
      </c>
      <c r="Q8" s="8"/>
      <c r="R8" s="8" t="s">
        <v>63</v>
      </c>
      <c r="S8" s="8" t="s">
        <v>119</v>
      </c>
      <c r="T8" s="8"/>
    </row>
    <row r="9" customFormat="false" ht="22.35" hidden="false" customHeight="false" outlineLevel="0" collapsed="false">
      <c r="A9" s="8" t="s">
        <v>120</v>
      </c>
      <c r="B9" s="8" t="s">
        <v>50</v>
      </c>
      <c r="C9" s="8" t="s">
        <v>51</v>
      </c>
      <c r="D9" s="8" t="s">
        <v>121</v>
      </c>
      <c r="E9" s="8" t="s">
        <v>53</v>
      </c>
      <c r="F9" s="8" t="s">
        <v>122</v>
      </c>
      <c r="G9" s="8" t="s">
        <v>55</v>
      </c>
      <c r="H9" s="8" t="s">
        <v>123</v>
      </c>
      <c r="I9" s="8" t="s">
        <v>124</v>
      </c>
      <c r="J9" s="8" t="s">
        <v>125</v>
      </c>
      <c r="K9" s="8" t="s">
        <v>53</v>
      </c>
      <c r="L9" s="8"/>
      <c r="M9" s="8" t="s">
        <v>59</v>
      </c>
      <c r="N9" s="9" t="s">
        <v>60</v>
      </c>
      <c r="O9" s="8" t="s">
        <v>126</v>
      </c>
      <c r="P9" s="8" t="s">
        <v>127</v>
      </c>
      <c r="Q9" s="8"/>
      <c r="R9" s="8" t="s">
        <v>63</v>
      </c>
      <c r="S9" s="8" t="s">
        <v>128</v>
      </c>
      <c r="T9" s="8"/>
    </row>
    <row r="10" customFormat="false" ht="22.35" hidden="false" customHeight="false" outlineLevel="0" collapsed="false">
      <c r="A10" s="8" t="s">
        <v>129</v>
      </c>
      <c r="B10" s="8" t="s">
        <v>50</v>
      </c>
      <c r="C10" s="8" t="s">
        <v>51</v>
      </c>
      <c r="D10" s="8" t="s">
        <v>130</v>
      </c>
      <c r="E10" s="8" t="s">
        <v>53</v>
      </c>
      <c r="F10" s="8" t="s">
        <v>131</v>
      </c>
      <c r="G10" s="8" t="s">
        <v>55</v>
      </c>
      <c r="H10" s="8" t="s">
        <v>132</v>
      </c>
      <c r="I10" s="8" t="s">
        <v>133</v>
      </c>
      <c r="J10" s="8" t="s">
        <v>134</v>
      </c>
      <c r="K10" s="8" t="s">
        <v>53</v>
      </c>
      <c r="L10" s="8"/>
      <c r="M10" s="8" t="s">
        <v>59</v>
      </c>
      <c r="N10" s="9" t="s">
        <v>60</v>
      </c>
      <c r="O10" s="8" t="s">
        <v>135</v>
      </c>
      <c r="P10" s="8" t="s">
        <v>136</v>
      </c>
      <c r="Q10" s="8"/>
      <c r="R10" s="8" t="s">
        <v>63</v>
      </c>
      <c r="S10" s="8" t="s">
        <v>137</v>
      </c>
      <c r="T10" s="8"/>
    </row>
    <row r="11" customFormat="false" ht="22.35" hidden="false" customHeight="false" outlineLevel="0" collapsed="false">
      <c r="A11" s="8" t="s">
        <v>138</v>
      </c>
      <c r="B11" s="8" t="s">
        <v>50</v>
      </c>
      <c r="C11" s="8" t="s">
        <v>51</v>
      </c>
      <c r="D11" s="8" t="s">
        <v>139</v>
      </c>
      <c r="E11" s="8" t="s">
        <v>53</v>
      </c>
      <c r="F11" s="8" t="s">
        <v>140</v>
      </c>
      <c r="G11" s="8" t="s">
        <v>55</v>
      </c>
      <c r="H11" s="8" t="s">
        <v>141</v>
      </c>
      <c r="I11" s="8" t="s">
        <v>142</v>
      </c>
      <c r="J11" s="8" t="s">
        <v>143</v>
      </c>
      <c r="K11" s="8" t="s">
        <v>53</v>
      </c>
      <c r="L11" s="8"/>
      <c r="M11" s="8" t="s">
        <v>59</v>
      </c>
      <c r="N11" s="10" t="s">
        <v>89</v>
      </c>
      <c r="O11" s="8" t="s">
        <v>144</v>
      </c>
      <c r="P11" s="8" t="s">
        <v>145</v>
      </c>
      <c r="Q11" s="10" t="n">
        <v>2</v>
      </c>
      <c r="R11" s="8" t="s">
        <v>63</v>
      </c>
      <c r="S11" s="8" t="s">
        <v>146</v>
      </c>
      <c r="T11" s="8"/>
    </row>
    <row r="12" customFormat="false" ht="22.35" hidden="false" customHeight="false" outlineLevel="0" collapsed="false">
      <c r="A12" s="8" t="s">
        <v>147</v>
      </c>
      <c r="B12" s="8" t="s">
        <v>50</v>
      </c>
      <c r="C12" s="8" t="s">
        <v>51</v>
      </c>
      <c r="D12" s="8" t="s">
        <v>148</v>
      </c>
      <c r="E12" s="8" t="s">
        <v>53</v>
      </c>
      <c r="F12" s="8" t="s">
        <v>149</v>
      </c>
      <c r="G12" s="8" t="s">
        <v>55</v>
      </c>
      <c r="H12" s="8" t="s">
        <v>150</v>
      </c>
      <c r="I12" s="8" t="s">
        <v>151</v>
      </c>
      <c r="J12" s="8" t="s">
        <v>152</v>
      </c>
      <c r="K12" s="8" t="s">
        <v>53</v>
      </c>
      <c r="L12" s="8"/>
      <c r="M12" s="8" t="s">
        <v>59</v>
      </c>
      <c r="N12" s="9" t="s">
        <v>60</v>
      </c>
      <c r="O12" s="8" t="s">
        <v>153</v>
      </c>
      <c r="P12" s="8" t="s">
        <v>154</v>
      </c>
      <c r="Q12" s="8"/>
      <c r="R12" s="8" t="s">
        <v>63</v>
      </c>
      <c r="S12" s="8" t="s">
        <v>155</v>
      </c>
      <c r="T12" s="8"/>
    </row>
    <row r="13" customFormat="false" ht="22.35" hidden="false" customHeight="false" outlineLevel="0" collapsed="false">
      <c r="A13" s="8" t="s">
        <v>156</v>
      </c>
      <c r="B13" s="8" t="s">
        <v>50</v>
      </c>
      <c r="C13" s="8" t="s">
        <v>51</v>
      </c>
      <c r="D13" s="8" t="s">
        <v>157</v>
      </c>
      <c r="E13" s="8" t="s">
        <v>53</v>
      </c>
      <c r="F13" s="8" t="s">
        <v>158</v>
      </c>
      <c r="G13" s="8" t="s">
        <v>55</v>
      </c>
      <c r="H13" s="8" t="s">
        <v>159</v>
      </c>
      <c r="I13" s="8" t="s">
        <v>160</v>
      </c>
      <c r="J13" s="8" t="s">
        <v>161</v>
      </c>
      <c r="K13" s="8" t="s">
        <v>53</v>
      </c>
      <c r="L13" s="8"/>
      <c r="M13" s="8" t="s">
        <v>59</v>
      </c>
      <c r="N13" s="10" t="s">
        <v>89</v>
      </c>
      <c r="O13" s="8" t="s">
        <v>162</v>
      </c>
      <c r="P13" s="8" t="s">
        <v>163</v>
      </c>
      <c r="Q13" s="10" t="n">
        <v>3</v>
      </c>
      <c r="R13" s="8" t="s">
        <v>63</v>
      </c>
      <c r="S13" s="8" t="s">
        <v>164</v>
      </c>
      <c r="T13" s="8"/>
    </row>
    <row r="14" customFormat="false" ht="22.35" hidden="false" customHeight="false" outlineLevel="0" collapsed="false">
      <c r="A14" s="8" t="s">
        <v>165</v>
      </c>
      <c r="B14" s="8" t="s">
        <v>50</v>
      </c>
      <c r="C14" s="8" t="s">
        <v>51</v>
      </c>
      <c r="D14" s="8" t="s">
        <v>166</v>
      </c>
      <c r="E14" s="8" t="s">
        <v>53</v>
      </c>
      <c r="F14" s="8" t="s">
        <v>167</v>
      </c>
      <c r="G14" s="8" t="s">
        <v>55</v>
      </c>
      <c r="H14" s="8" t="s">
        <v>168</v>
      </c>
      <c r="I14" s="8" t="s">
        <v>169</v>
      </c>
      <c r="J14" s="8" t="s">
        <v>170</v>
      </c>
      <c r="K14" s="8" t="s">
        <v>53</v>
      </c>
      <c r="L14" s="8"/>
      <c r="M14" s="8" t="s">
        <v>59</v>
      </c>
      <c r="N14" s="9" t="s">
        <v>60</v>
      </c>
      <c r="O14" s="8" t="s">
        <v>171</v>
      </c>
      <c r="P14" s="8" t="s">
        <v>172</v>
      </c>
      <c r="Q14" s="8"/>
      <c r="R14" s="8" t="s">
        <v>63</v>
      </c>
      <c r="S14" s="8" t="s">
        <v>173</v>
      </c>
      <c r="T14" s="8"/>
    </row>
    <row r="15" customFormat="false" ht="22.35" hidden="false" customHeight="false" outlineLevel="0" collapsed="false">
      <c r="A15" s="8" t="s">
        <v>174</v>
      </c>
      <c r="B15" s="8" t="s">
        <v>50</v>
      </c>
      <c r="C15" s="8" t="s">
        <v>51</v>
      </c>
      <c r="D15" s="8" t="s">
        <v>175</v>
      </c>
      <c r="E15" s="8" t="s">
        <v>53</v>
      </c>
      <c r="F15" s="8" t="s">
        <v>176</v>
      </c>
      <c r="G15" s="8" t="s">
        <v>55</v>
      </c>
      <c r="H15" s="8" t="s">
        <v>177</v>
      </c>
      <c r="I15" s="8" t="s">
        <v>178</v>
      </c>
      <c r="J15" s="8" t="s">
        <v>179</v>
      </c>
      <c r="K15" s="8" t="s">
        <v>53</v>
      </c>
      <c r="L15" s="8"/>
      <c r="M15" s="8" t="s">
        <v>59</v>
      </c>
      <c r="N15" s="9" t="s">
        <v>60</v>
      </c>
      <c r="O15" s="8" t="s">
        <v>180</v>
      </c>
      <c r="P15" s="8" t="s">
        <v>181</v>
      </c>
      <c r="Q15" s="8"/>
      <c r="R15" s="8" t="s">
        <v>63</v>
      </c>
      <c r="S15" s="8" t="s">
        <v>182</v>
      </c>
      <c r="T15" s="8"/>
    </row>
    <row r="16" customFormat="false" ht="22.35" hidden="false" customHeight="false" outlineLevel="0" collapsed="false">
      <c r="A16" s="8" t="s">
        <v>183</v>
      </c>
      <c r="B16" s="8" t="s">
        <v>50</v>
      </c>
      <c r="C16" s="8" t="s">
        <v>51</v>
      </c>
      <c r="D16" s="8" t="s">
        <v>184</v>
      </c>
      <c r="E16" s="8" t="s">
        <v>53</v>
      </c>
      <c r="F16" s="8" t="s">
        <v>185</v>
      </c>
      <c r="G16" s="8" t="s">
        <v>55</v>
      </c>
      <c r="H16" s="8" t="s">
        <v>186</v>
      </c>
      <c r="I16" s="8" t="s">
        <v>187</v>
      </c>
      <c r="J16" s="8" t="s">
        <v>188</v>
      </c>
      <c r="K16" s="8" t="s">
        <v>53</v>
      </c>
      <c r="L16" s="8"/>
      <c r="M16" s="8" t="s">
        <v>59</v>
      </c>
      <c r="N16" s="9" t="s">
        <v>60</v>
      </c>
      <c r="O16" s="8" t="s">
        <v>189</v>
      </c>
      <c r="P16" s="8" t="s">
        <v>190</v>
      </c>
      <c r="Q16" s="8"/>
      <c r="R16" s="8" t="s">
        <v>63</v>
      </c>
      <c r="S16" s="8" t="s">
        <v>191</v>
      </c>
      <c r="T16" s="8"/>
    </row>
    <row r="17" customFormat="false" ht="22.35" hidden="false" customHeight="false" outlineLevel="0" collapsed="false">
      <c r="A17" s="8" t="s">
        <v>192</v>
      </c>
      <c r="B17" s="8" t="s">
        <v>50</v>
      </c>
      <c r="C17" s="8" t="s">
        <v>51</v>
      </c>
      <c r="D17" s="8" t="s">
        <v>193</v>
      </c>
      <c r="E17" s="8" t="s">
        <v>53</v>
      </c>
      <c r="F17" s="8" t="s">
        <v>194</v>
      </c>
      <c r="G17" s="8" t="s">
        <v>55</v>
      </c>
      <c r="H17" s="8" t="s">
        <v>195</v>
      </c>
      <c r="I17" s="8" t="s">
        <v>196</v>
      </c>
      <c r="J17" s="8" t="s">
        <v>197</v>
      </c>
      <c r="K17" s="8" t="s">
        <v>53</v>
      </c>
      <c r="L17" s="8"/>
      <c r="M17" s="8" t="s">
        <v>59</v>
      </c>
      <c r="N17" s="9" t="s">
        <v>60</v>
      </c>
      <c r="O17" s="8" t="s">
        <v>198</v>
      </c>
      <c r="P17" s="8" t="s">
        <v>199</v>
      </c>
      <c r="Q17" s="8"/>
      <c r="R17" s="8" t="s">
        <v>63</v>
      </c>
      <c r="S17" s="8" t="s">
        <v>200</v>
      </c>
      <c r="T17" s="8"/>
    </row>
    <row r="18" customFormat="false" ht="22.35" hidden="false" customHeight="false" outlineLevel="0" collapsed="false">
      <c r="A18" s="8" t="s">
        <v>201</v>
      </c>
      <c r="B18" s="8" t="s">
        <v>50</v>
      </c>
      <c r="C18" s="8" t="s">
        <v>51</v>
      </c>
      <c r="D18" s="8" t="s">
        <v>202</v>
      </c>
      <c r="E18" s="8" t="s">
        <v>53</v>
      </c>
      <c r="F18" s="8" t="s">
        <v>203</v>
      </c>
      <c r="G18" s="8" t="s">
        <v>55</v>
      </c>
      <c r="H18" s="8" t="s">
        <v>204</v>
      </c>
      <c r="I18" s="8" t="s">
        <v>205</v>
      </c>
      <c r="J18" s="8" t="s">
        <v>206</v>
      </c>
      <c r="K18" s="8" t="s">
        <v>53</v>
      </c>
      <c r="L18" s="8"/>
      <c r="M18" s="8" t="s">
        <v>59</v>
      </c>
      <c r="N18" s="9" t="s">
        <v>60</v>
      </c>
      <c r="O18" s="8" t="s">
        <v>207</v>
      </c>
      <c r="P18" s="8" t="s">
        <v>208</v>
      </c>
      <c r="Q18" s="8"/>
      <c r="R18" s="8" t="s">
        <v>63</v>
      </c>
      <c r="S18" s="8" t="s">
        <v>209</v>
      </c>
      <c r="T18" s="8"/>
    </row>
    <row r="19" customFormat="false" ht="22.35" hidden="false" customHeight="false" outlineLevel="0" collapsed="false">
      <c r="A19" s="8" t="s">
        <v>210</v>
      </c>
      <c r="B19" s="8" t="s">
        <v>211</v>
      </c>
      <c r="C19" s="8" t="s">
        <v>212</v>
      </c>
      <c r="D19" s="8" t="s">
        <v>213</v>
      </c>
      <c r="E19" s="11" t="s">
        <v>214</v>
      </c>
      <c r="F19" s="8" t="s">
        <v>215</v>
      </c>
      <c r="G19" s="9" t="s">
        <v>216</v>
      </c>
      <c r="H19" s="8"/>
      <c r="I19" s="8" t="s">
        <v>217</v>
      </c>
      <c r="J19" s="8" t="s">
        <v>218</v>
      </c>
      <c r="K19" s="8" t="s">
        <v>53</v>
      </c>
      <c r="L19" s="8"/>
      <c r="M19" s="8" t="s">
        <v>59</v>
      </c>
      <c r="N19" s="9" t="s">
        <v>60</v>
      </c>
      <c r="O19" s="8" t="s">
        <v>219</v>
      </c>
      <c r="P19" s="8" t="s">
        <v>220</v>
      </c>
      <c r="Q19" s="8"/>
      <c r="R19" s="8" t="s">
        <v>63</v>
      </c>
      <c r="S19" s="8" t="s">
        <v>221</v>
      </c>
      <c r="T19" s="8" t="s">
        <v>222</v>
      </c>
    </row>
    <row r="20" customFormat="false" ht="22.35" hidden="false" customHeight="false" outlineLevel="0" collapsed="false">
      <c r="A20" s="8" t="s">
        <v>223</v>
      </c>
      <c r="B20" s="8" t="s">
        <v>211</v>
      </c>
      <c r="C20" s="8" t="s">
        <v>224</v>
      </c>
      <c r="D20" s="8" t="s">
        <v>225</v>
      </c>
      <c r="E20" s="9" t="s">
        <v>226</v>
      </c>
      <c r="F20" s="8" t="s">
        <v>227</v>
      </c>
      <c r="G20" s="8" t="s">
        <v>55</v>
      </c>
      <c r="H20" s="8"/>
      <c r="I20" s="8" t="s">
        <v>228</v>
      </c>
      <c r="J20" s="8" t="s">
        <v>229</v>
      </c>
      <c r="K20" s="8" t="s">
        <v>53</v>
      </c>
      <c r="L20" s="8"/>
      <c r="M20" s="8" t="s">
        <v>59</v>
      </c>
      <c r="N20" s="9" t="s">
        <v>60</v>
      </c>
      <c r="O20" s="8" t="s">
        <v>230</v>
      </c>
      <c r="P20" s="8" t="s">
        <v>231</v>
      </c>
      <c r="Q20" s="8"/>
      <c r="R20" s="9" t="s">
        <v>232</v>
      </c>
      <c r="S20" s="8" t="s">
        <v>233</v>
      </c>
      <c r="T20" s="8" t="s">
        <v>234</v>
      </c>
    </row>
    <row r="21" customFormat="false" ht="32.8" hidden="false" customHeight="false" outlineLevel="0" collapsed="false">
      <c r="A21" s="8" t="s">
        <v>235</v>
      </c>
      <c r="B21" s="8" t="s">
        <v>211</v>
      </c>
      <c r="C21" s="8" t="s">
        <v>212</v>
      </c>
      <c r="D21" s="8" t="s">
        <v>236</v>
      </c>
      <c r="E21" s="8" t="s">
        <v>53</v>
      </c>
      <c r="F21" s="8" t="s">
        <v>237</v>
      </c>
      <c r="G21" s="8" t="s">
        <v>55</v>
      </c>
      <c r="H21" s="8"/>
      <c r="I21" s="8" t="s">
        <v>238</v>
      </c>
      <c r="J21" s="8" t="s">
        <v>239</v>
      </c>
      <c r="K21" s="8" t="s">
        <v>53</v>
      </c>
      <c r="L21" s="8"/>
      <c r="M21" s="8" t="s">
        <v>59</v>
      </c>
      <c r="N21" s="9" t="s">
        <v>60</v>
      </c>
      <c r="O21" s="8" t="s">
        <v>240</v>
      </c>
      <c r="P21" s="8" t="s">
        <v>241</v>
      </c>
      <c r="Q21" s="8"/>
      <c r="R21" s="9" t="s">
        <v>232</v>
      </c>
      <c r="S21" s="8" t="s">
        <v>242</v>
      </c>
      <c r="T21" s="8" t="s">
        <v>243</v>
      </c>
    </row>
    <row r="22" customFormat="false" ht="22.35" hidden="false" customHeight="false" outlineLevel="0" collapsed="false">
      <c r="A22" s="8" t="s">
        <v>244</v>
      </c>
      <c r="B22" s="8" t="s">
        <v>211</v>
      </c>
      <c r="C22" s="8" t="s">
        <v>224</v>
      </c>
      <c r="D22" s="8" t="s">
        <v>245</v>
      </c>
      <c r="E22" s="9" t="s">
        <v>226</v>
      </c>
      <c r="F22" s="8" t="s">
        <v>246</v>
      </c>
      <c r="G22" s="8" t="s">
        <v>55</v>
      </c>
      <c r="H22" s="8"/>
      <c r="I22" s="8" t="s">
        <v>247</v>
      </c>
      <c r="J22" s="8" t="s">
        <v>248</v>
      </c>
      <c r="K22" s="8" t="s">
        <v>53</v>
      </c>
      <c r="L22" s="8"/>
      <c r="M22" s="8" t="s">
        <v>59</v>
      </c>
      <c r="N22" s="9" t="s">
        <v>60</v>
      </c>
      <c r="O22" s="8" t="s">
        <v>249</v>
      </c>
      <c r="P22" s="8" t="s">
        <v>250</v>
      </c>
      <c r="Q22" s="8"/>
      <c r="R22" s="9" t="s">
        <v>232</v>
      </c>
      <c r="S22" s="8" t="s">
        <v>251</v>
      </c>
      <c r="T22" s="8" t="s">
        <v>252</v>
      </c>
    </row>
    <row r="23" customFormat="false" ht="22.35" hidden="false" customHeight="false" outlineLevel="0" collapsed="false">
      <c r="A23" s="8" t="s">
        <v>253</v>
      </c>
      <c r="B23" s="8" t="s">
        <v>211</v>
      </c>
      <c r="C23" s="8" t="s">
        <v>224</v>
      </c>
      <c r="D23" s="8" t="s">
        <v>254</v>
      </c>
      <c r="E23" s="8" t="s">
        <v>53</v>
      </c>
      <c r="F23" s="8" t="s">
        <v>255</v>
      </c>
      <c r="G23" s="8" t="s">
        <v>55</v>
      </c>
      <c r="H23" s="8"/>
      <c r="I23" s="8" t="s">
        <v>256</v>
      </c>
      <c r="J23" s="8" t="s">
        <v>257</v>
      </c>
      <c r="K23" s="8" t="s">
        <v>53</v>
      </c>
      <c r="L23" s="8"/>
      <c r="M23" s="8" t="s">
        <v>59</v>
      </c>
      <c r="N23" s="9" t="s">
        <v>60</v>
      </c>
      <c r="O23" s="8" t="s">
        <v>258</v>
      </c>
      <c r="P23" s="8" t="s">
        <v>259</v>
      </c>
      <c r="Q23" s="8"/>
      <c r="R23" s="8" t="s">
        <v>63</v>
      </c>
      <c r="S23" s="8" t="s">
        <v>260</v>
      </c>
      <c r="T23" s="8"/>
    </row>
    <row r="24" customFormat="false" ht="22.35" hidden="false" customHeight="false" outlineLevel="0" collapsed="false">
      <c r="A24" s="8" t="s">
        <v>261</v>
      </c>
      <c r="B24" s="8" t="s">
        <v>211</v>
      </c>
      <c r="C24" s="8" t="s">
        <v>224</v>
      </c>
      <c r="D24" s="8" t="s">
        <v>262</v>
      </c>
      <c r="E24" s="8" t="s">
        <v>53</v>
      </c>
      <c r="F24" s="8" t="s">
        <v>263</v>
      </c>
      <c r="G24" s="8" t="s">
        <v>55</v>
      </c>
      <c r="H24" s="8"/>
      <c r="I24" s="8" t="s">
        <v>264</v>
      </c>
      <c r="J24" s="8" t="s">
        <v>265</v>
      </c>
      <c r="K24" s="8" t="s">
        <v>53</v>
      </c>
      <c r="L24" s="8"/>
      <c r="M24" s="8" t="s">
        <v>59</v>
      </c>
      <c r="N24" s="9" t="s">
        <v>60</v>
      </c>
      <c r="O24" s="8" t="s">
        <v>266</v>
      </c>
      <c r="P24" s="8" t="s">
        <v>267</v>
      </c>
      <c r="Q24" s="8"/>
      <c r="R24" s="8" t="s">
        <v>63</v>
      </c>
      <c r="S24" s="8" t="s">
        <v>268</v>
      </c>
      <c r="T24" s="8" t="s">
        <v>269</v>
      </c>
    </row>
    <row r="25" customFormat="false" ht="22.35" hidden="false" customHeight="false" outlineLevel="0" collapsed="false">
      <c r="A25" s="8" t="s">
        <v>270</v>
      </c>
      <c r="B25" s="8" t="s">
        <v>211</v>
      </c>
      <c r="C25" s="8" t="s">
        <v>271</v>
      </c>
      <c r="D25" s="8" t="s">
        <v>272</v>
      </c>
      <c r="E25" s="11" t="s">
        <v>214</v>
      </c>
      <c r="F25" s="8" t="s">
        <v>273</v>
      </c>
      <c r="G25" s="9" t="s">
        <v>216</v>
      </c>
      <c r="H25" s="8"/>
      <c r="I25" s="8" t="s">
        <v>274</v>
      </c>
      <c r="J25" s="8" t="s">
        <v>275</v>
      </c>
      <c r="K25" s="8" t="s">
        <v>53</v>
      </c>
      <c r="L25" s="8"/>
      <c r="M25" s="8" t="s">
        <v>59</v>
      </c>
      <c r="N25" s="9" t="s">
        <v>60</v>
      </c>
      <c r="O25" s="8" t="s">
        <v>276</v>
      </c>
      <c r="P25" s="8" t="s">
        <v>277</v>
      </c>
      <c r="Q25" s="8"/>
      <c r="R25" s="8" t="s">
        <v>63</v>
      </c>
      <c r="S25" s="8" t="s">
        <v>278</v>
      </c>
      <c r="T25" s="8" t="s">
        <v>279</v>
      </c>
    </row>
    <row r="26" customFormat="false" ht="22.35" hidden="false" customHeight="false" outlineLevel="0" collapsed="false">
      <c r="A26" s="8" t="s">
        <v>280</v>
      </c>
      <c r="B26" s="8" t="s">
        <v>281</v>
      </c>
      <c r="C26" s="8" t="s">
        <v>282</v>
      </c>
      <c r="D26" s="8" t="s">
        <v>283</v>
      </c>
      <c r="E26" s="8" t="s">
        <v>53</v>
      </c>
      <c r="F26" s="8" t="s">
        <v>284</v>
      </c>
      <c r="G26" s="8" t="s">
        <v>55</v>
      </c>
      <c r="H26" s="8"/>
      <c r="I26" s="8" t="s">
        <v>285</v>
      </c>
      <c r="J26" s="8" t="s">
        <v>286</v>
      </c>
      <c r="K26" s="8" t="s">
        <v>53</v>
      </c>
      <c r="L26" s="8"/>
      <c r="M26" s="8" t="s">
        <v>287</v>
      </c>
      <c r="N26" s="10" t="s">
        <v>89</v>
      </c>
      <c r="O26" s="8" t="s">
        <v>288</v>
      </c>
      <c r="P26" s="8" t="s">
        <v>289</v>
      </c>
      <c r="Q26" s="10" t="n">
        <v>5</v>
      </c>
      <c r="R26" s="8" t="s">
        <v>63</v>
      </c>
      <c r="S26" s="8" t="s">
        <v>290</v>
      </c>
      <c r="T26" s="8"/>
    </row>
    <row r="27" customFormat="false" ht="22.35" hidden="false" customHeight="false" outlineLevel="0" collapsed="false">
      <c r="A27" s="8" t="s">
        <v>291</v>
      </c>
      <c r="B27" s="8" t="s">
        <v>281</v>
      </c>
      <c r="C27" s="8" t="s">
        <v>282</v>
      </c>
      <c r="D27" s="8" t="s">
        <v>292</v>
      </c>
      <c r="E27" s="8" t="s">
        <v>53</v>
      </c>
      <c r="F27" s="8" t="s">
        <v>293</v>
      </c>
      <c r="G27" s="8" t="s">
        <v>55</v>
      </c>
      <c r="H27" s="8"/>
      <c r="I27" s="8" t="s">
        <v>294</v>
      </c>
      <c r="J27" s="8" t="s">
        <v>295</v>
      </c>
      <c r="K27" s="8" t="s">
        <v>53</v>
      </c>
      <c r="L27" s="8"/>
      <c r="M27" s="8" t="s">
        <v>287</v>
      </c>
      <c r="N27" s="9" t="s">
        <v>60</v>
      </c>
      <c r="O27" s="8" t="s">
        <v>296</v>
      </c>
      <c r="P27" s="8" t="s">
        <v>297</v>
      </c>
      <c r="Q27" s="8"/>
      <c r="R27" s="8" t="s">
        <v>63</v>
      </c>
      <c r="S27" s="8" t="s">
        <v>298</v>
      </c>
      <c r="T27" s="8"/>
    </row>
    <row r="28" customFormat="false" ht="22.35" hidden="false" customHeight="false" outlineLevel="0" collapsed="false">
      <c r="A28" s="8" t="s">
        <v>299</v>
      </c>
      <c r="B28" s="8" t="s">
        <v>281</v>
      </c>
      <c r="C28" s="8" t="s">
        <v>282</v>
      </c>
      <c r="D28" s="8" t="s">
        <v>300</v>
      </c>
      <c r="E28" s="8" t="s">
        <v>53</v>
      </c>
      <c r="F28" s="8" t="s">
        <v>301</v>
      </c>
      <c r="G28" s="8" t="s">
        <v>55</v>
      </c>
      <c r="H28" s="8"/>
      <c r="I28" s="8" t="s">
        <v>302</v>
      </c>
      <c r="J28" s="8" t="s">
        <v>303</v>
      </c>
      <c r="K28" s="9" t="s">
        <v>304</v>
      </c>
      <c r="L28" s="8"/>
      <c r="M28" s="8" t="s">
        <v>287</v>
      </c>
      <c r="N28" s="9" t="s">
        <v>60</v>
      </c>
      <c r="O28" s="8" t="s">
        <v>305</v>
      </c>
      <c r="P28" s="8" t="s">
        <v>306</v>
      </c>
      <c r="Q28" s="8"/>
      <c r="R28" s="8" t="s">
        <v>63</v>
      </c>
      <c r="S28" s="8" t="s">
        <v>307</v>
      </c>
      <c r="T28" s="8"/>
    </row>
    <row r="29" customFormat="false" ht="22.35" hidden="false" customHeight="false" outlineLevel="0" collapsed="false">
      <c r="A29" s="8" t="s">
        <v>308</v>
      </c>
      <c r="B29" s="8" t="s">
        <v>281</v>
      </c>
      <c r="C29" s="8" t="s">
        <v>309</v>
      </c>
      <c r="D29" s="8" t="s">
        <v>310</v>
      </c>
      <c r="E29" s="8" t="s">
        <v>53</v>
      </c>
      <c r="F29" s="8" t="s">
        <v>311</v>
      </c>
      <c r="G29" s="8" t="s">
        <v>55</v>
      </c>
      <c r="H29" s="8"/>
      <c r="I29" s="8" t="s">
        <v>312</v>
      </c>
      <c r="J29" s="8" t="s">
        <v>313</v>
      </c>
      <c r="K29" s="9" t="s">
        <v>304</v>
      </c>
      <c r="L29" s="8"/>
      <c r="M29" s="8" t="s">
        <v>287</v>
      </c>
      <c r="N29" s="10" t="s">
        <v>89</v>
      </c>
      <c r="O29" s="8" t="s">
        <v>314</v>
      </c>
      <c r="P29" s="8" t="s">
        <v>315</v>
      </c>
      <c r="Q29" s="10" t="n">
        <v>6</v>
      </c>
      <c r="R29" s="8" t="s">
        <v>63</v>
      </c>
      <c r="S29" s="8" t="s">
        <v>316</v>
      </c>
      <c r="T29" s="8"/>
    </row>
    <row r="30" customFormat="false" ht="22.35" hidden="false" customHeight="false" outlineLevel="0" collapsed="false">
      <c r="A30" s="8" t="s">
        <v>317</v>
      </c>
      <c r="B30" s="8" t="s">
        <v>281</v>
      </c>
      <c r="C30" s="8" t="s">
        <v>318</v>
      </c>
      <c r="D30" s="8" t="s">
        <v>319</v>
      </c>
      <c r="E30" s="8" t="s">
        <v>53</v>
      </c>
      <c r="F30" s="8" t="s">
        <v>320</v>
      </c>
      <c r="G30" s="8" t="s">
        <v>55</v>
      </c>
      <c r="H30" s="8"/>
      <c r="I30" s="8" t="s">
        <v>321</v>
      </c>
      <c r="J30" s="8" t="s">
        <v>322</v>
      </c>
      <c r="K30" s="8" t="s">
        <v>53</v>
      </c>
      <c r="L30" s="8"/>
      <c r="M30" s="8" t="s">
        <v>287</v>
      </c>
      <c r="N30" s="10" t="s">
        <v>89</v>
      </c>
      <c r="O30" s="8" t="s">
        <v>323</v>
      </c>
      <c r="P30" s="8" t="s">
        <v>324</v>
      </c>
      <c r="Q30" s="10" t="n">
        <v>4</v>
      </c>
      <c r="R30" s="8" t="s">
        <v>63</v>
      </c>
      <c r="S30" s="8" t="s">
        <v>325</v>
      </c>
      <c r="T30" s="8"/>
    </row>
    <row r="31" customFormat="false" ht="22.35" hidden="false" customHeight="false" outlineLevel="0" collapsed="false">
      <c r="A31" s="8" t="s">
        <v>326</v>
      </c>
      <c r="B31" s="8" t="s">
        <v>281</v>
      </c>
      <c r="C31" s="8" t="s">
        <v>318</v>
      </c>
      <c r="D31" s="8" t="s">
        <v>327</v>
      </c>
      <c r="E31" s="8" t="s">
        <v>53</v>
      </c>
      <c r="F31" s="8" t="s">
        <v>328</v>
      </c>
      <c r="G31" s="8" t="s">
        <v>55</v>
      </c>
      <c r="H31" s="8"/>
      <c r="I31" s="8" t="s">
        <v>329</v>
      </c>
      <c r="J31" s="8" t="s">
        <v>330</v>
      </c>
      <c r="K31" s="9" t="s">
        <v>304</v>
      </c>
      <c r="L31" s="8"/>
      <c r="M31" s="8" t="s">
        <v>287</v>
      </c>
      <c r="N31" s="9" t="s">
        <v>60</v>
      </c>
      <c r="O31" s="8" t="s">
        <v>331</v>
      </c>
      <c r="P31" s="8" t="s">
        <v>332</v>
      </c>
      <c r="Q31" s="8"/>
      <c r="R31" s="8" t="s">
        <v>63</v>
      </c>
      <c r="S31" s="8" t="s">
        <v>333</v>
      </c>
      <c r="T31" s="8"/>
    </row>
    <row r="32" customFormat="false" ht="22.35" hidden="false" customHeight="false" outlineLevel="0" collapsed="false">
      <c r="A32" s="8" t="s">
        <v>334</v>
      </c>
      <c r="B32" s="8" t="s">
        <v>281</v>
      </c>
      <c r="C32" s="8" t="s">
        <v>335</v>
      </c>
      <c r="D32" s="8" t="s">
        <v>336</v>
      </c>
      <c r="E32" s="8" t="s">
        <v>53</v>
      </c>
      <c r="F32" s="8" t="s">
        <v>337</v>
      </c>
      <c r="G32" s="8" t="s">
        <v>55</v>
      </c>
      <c r="H32" s="8"/>
      <c r="I32" s="8" t="s">
        <v>338</v>
      </c>
      <c r="J32" s="8" t="s">
        <v>339</v>
      </c>
      <c r="K32" s="9" t="s">
        <v>304</v>
      </c>
      <c r="L32" s="8"/>
      <c r="M32" s="8" t="s">
        <v>287</v>
      </c>
      <c r="N32" s="9" t="s">
        <v>60</v>
      </c>
      <c r="O32" s="8" t="s">
        <v>340</v>
      </c>
      <c r="P32" s="8" t="s">
        <v>341</v>
      </c>
      <c r="Q32" s="8"/>
      <c r="R32" s="8" t="s">
        <v>63</v>
      </c>
      <c r="S32" s="8" t="s">
        <v>342</v>
      </c>
      <c r="T32" s="8"/>
    </row>
    <row r="33" customFormat="false" ht="22.35" hidden="false" customHeight="false" outlineLevel="0" collapsed="false">
      <c r="A33" s="8" t="s">
        <v>343</v>
      </c>
      <c r="B33" s="8" t="s">
        <v>281</v>
      </c>
      <c r="C33" s="8" t="s">
        <v>335</v>
      </c>
      <c r="D33" s="8" t="s">
        <v>344</v>
      </c>
      <c r="E33" s="8" t="s">
        <v>53</v>
      </c>
      <c r="F33" s="8" t="s">
        <v>345</v>
      </c>
      <c r="G33" s="8" t="s">
        <v>55</v>
      </c>
      <c r="H33" s="8"/>
      <c r="I33" s="8" t="s">
        <v>346</v>
      </c>
      <c r="J33" s="8" t="s">
        <v>347</v>
      </c>
      <c r="K33" s="9" t="s">
        <v>304</v>
      </c>
      <c r="L33" s="8"/>
      <c r="M33" s="8" t="s">
        <v>287</v>
      </c>
      <c r="N33" s="9" t="s">
        <v>60</v>
      </c>
      <c r="O33" s="8" t="s">
        <v>348</v>
      </c>
      <c r="P33" s="8" t="s">
        <v>349</v>
      </c>
      <c r="Q33" s="8"/>
      <c r="R33" s="8" t="s">
        <v>63</v>
      </c>
      <c r="S33" s="8" t="s">
        <v>350</v>
      </c>
      <c r="T33" s="8" t="s">
        <v>351</v>
      </c>
    </row>
    <row r="34" customFormat="false" ht="22.35" hidden="false" customHeight="false" outlineLevel="0" collapsed="false">
      <c r="A34" s="8" t="s">
        <v>352</v>
      </c>
      <c r="B34" s="8" t="s">
        <v>281</v>
      </c>
      <c r="C34" s="8" t="s">
        <v>335</v>
      </c>
      <c r="D34" s="8" t="s">
        <v>353</v>
      </c>
      <c r="E34" s="8" t="s">
        <v>53</v>
      </c>
      <c r="F34" s="8" t="s">
        <v>354</v>
      </c>
      <c r="G34" s="8" t="s">
        <v>55</v>
      </c>
      <c r="H34" s="8"/>
      <c r="I34" s="8" t="s">
        <v>355</v>
      </c>
      <c r="J34" s="8" t="s">
        <v>356</v>
      </c>
      <c r="K34" s="9" t="s">
        <v>304</v>
      </c>
      <c r="L34" s="8"/>
      <c r="M34" s="8" t="s">
        <v>287</v>
      </c>
      <c r="N34" s="9" t="s">
        <v>60</v>
      </c>
      <c r="O34" s="8" t="s">
        <v>357</v>
      </c>
      <c r="P34" s="8" t="s">
        <v>358</v>
      </c>
      <c r="Q34" s="8"/>
      <c r="R34" s="8" t="s">
        <v>63</v>
      </c>
      <c r="S34" s="8" t="s">
        <v>359</v>
      </c>
      <c r="T34" s="8"/>
    </row>
    <row r="35" customFormat="false" ht="32.8" hidden="false" customHeight="false" outlineLevel="0" collapsed="false">
      <c r="A35" s="8" t="s">
        <v>360</v>
      </c>
      <c r="B35" s="8" t="s">
        <v>281</v>
      </c>
      <c r="C35" s="8" t="s">
        <v>335</v>
      </c>
      <c r="D35" s="8" t="s">
        <v>361</v>
      </c>
      <c r="E35" s="8" t="s">
        <v>53</v>
      </c>
      <c r="F35" s="8" t="s">
        <v>362</v>
      </c>
      <c r="G35" s="8" t="s">
        <v>55</v>
      </c>
      <c r="H35" s="8"/>
      <c r="I35" s="8" t="s">
        <v>363</v>
      </c>
      <c r="J35" s="8" t="s">
        <v>364</v>
      </c>
      <c r="K35" s="9" t="s">
        <v>304</v>
      </c>
      <c r="L35" s="8"/>
      <c r="M35" s="8" t="s">
        <v>287</v>
      </c>
      <c r="N35" s="9" t="s">
        <v>60</v>
      </c>
      <c r="O35" s="8" t="s">
        <v>365</v>
      </c>
      <c r="P35" s="8" t="s">
        <v>366</v>
      </c>
      <c r="Q35" s="8"/>
      <c r="R35" s="8" t="s">
        <v>63</v>
      </c>
      <c r="S35" s="8" t="s">
        <v>367</v>
      </c>
      <c r="T35" s="8"/>
    </row>
    <row r="36" customFormat="false" ht="22.35" hidden="false" customHeight="false" outlineLevel="0" collapsed="false">
      <c r="A36" s="8" t="s">
        <v>368</v>
      </c>
      <c r="B36" s="8" t="s">
        <v>281</v>
      </c>
      <c r="C36" s="8" t="s">
        <v>318</v>
      </c>
      <c r="D36" s="8" t="s">
        <v>369</v>
      </c>
      <c r="E36" s="8" t="s">
        <v>53</v>
      </c>
      <c r="F36" s="8" t="s">
        <v>370</v>
      </c>
      <c r="G36" s="8" t="s">
        <v>55</v>
      </c>
      <c r="H36" s="8"/>
      <c r="I36" s="8" t="s">
        <v>371</v>
      </c>
      <c r="J36" s="8" t="s">
        <v>372</v>
      </c>
      <c r="K36" s="9" t="s">
        <v>304</v>
      </c>
      <c r="L36" s="8"/>
      <c r="M36" s="8" t="s">
        <v>287</v>
      </c>
      <c r="N36" s="9" t="s">
        <v>60</v>
      </c>
      <c r="O36" s="8" t="s">
        <v>373</v>
      </c>
      <c r="P36" s="8" t="s">
        <v>374</v>
      </c>
      <c r="Q36" s="8"/>
      <c r="R36" s="8" t="s">
        <v>63</v>
      </c>
      <c r="S36" s="8" t="s">
        <v>375</v>
      </c>
      <c r="T36" s="8"/>
    </row>
    <row r="37" customFormat="false" ht="22.35" hidden="false" customHeight="false" outlineLevel="0" collapsed="false">
      <c r="A37" s="8" t="s">
        <v>376</v>
      </c>
      <c r="B37" s="8" t="s">
        <v>281</v>
      </c>
      <c r="C37" s="8" t="s">
        <v>309</v>
      </c>
      <c r="D37" s="8" t="s">
        <v>377</v>
      </c>
      <c r="E37" s="8" t="s">
        <v>53</v>
      </c>
      <c r="F37" s="8" t="s">
        <v>378</v>
      </c>
      <c r="G37" s="8" t="s">
        <v>55</v>
      </c>
      <c r="H37" s="8"/>
      <c r="I37" s="8" t="s">
        <v>379</v>
      </c>
      <c r="J37" s="8" t="s">
        <v>380</v>
      </c>
      <c r="K37" s="9" t="s">
        <v>304</v>
      </c>
      <c r="L37" s="8"/>
      <c r="M37" s="8" t="s">
        <v>287</v>
      </c>
      <c r="N37" s="9" t="s">
        <v>60</v>
      </c>
      <c r="O37" s="8" t="s">
        <v>381</v>
      </c>
      <c r="P37" s="8" t="s">
        <v>382</v>
      </c>
      <c r="Q37" s="8"/>
      <c r="R37" s="8" t="s">
        <v>63</v>
      </c>
      <c r="S37" s="8" t="s">
        <v>383</v>
      </c>
      <c r="T37" s="8"/>
    </row>
    <row r="38" customFormat="false" ht="22.35" hidden="false" customHeight="false" outlineLevel="0" collapsed="false">
      <c r="A38" s="8" t="s">
        <v>384</v>
      </c>
      <c r="B38" s="8" t="s">
        <v>281</v>
      </c>
      <c r="C38" s="8" t="s">
        <v>385</v>
      </c>
      <c r="D38" s="8" t="s">
        <v>386</v>
      </c>
      <c r="E38" s="8" t="s">
        <v>53</v>
      </c>
      <c r="F38" s="8" t="s">
        <v>387</v>
      </c>
      <c r="G38" s="8" t="s">
        <v>55</v>
      </c>
      <c r="H38" s="8"/>
      <c r="I38" s="8" t="s">
        <v>388</v>
      </c>
      <c r="J38" s="8" t="s">
        <v>389</v>
      </c>
      <c r="K38" s="8" t="s">
        <v>53</v>
      </c>
      <c r="L38" s="8"/>
      <c r="M38" s="8" t="s">
        <v>287</v>
      </c>
      <c r="N38" s="9" t="s">
        <v>60</v>
      </c>
      <c r="O38" s="8" t="s">
        <v>390</v>
      </c>
      <c r="P38" s="8" t="s">
        <v>391</v>
      </c>
      <c r="Q38" s="8"/>
      <c r="R38" s="8" t="s">
        <v>63</v>
      </c>
      <c r="S38" s="8" t="s">
        <v>392</v>
      </c>
      <c r="T38" s="8"/>
    </row>
    <row r="39" customFormat="false" ht="22.35" hidden="false" customHeight="false" outlineLevel="0" collapsed="false">
      <c r="A39" s="8" t="s">
        <v>393</v>
      </c>
      <c r="B39" s="8" t="s">
        <v>281</v>
      </c>
      <c r="C39" s="8" t="s">
        <v>318</v>
      </c>
      <c r="D39" s="8" t="s">
        <v>394</v>
      </c>
      <c r="E39" s="8" t="s">
        <v>53</v>
      </c>
      <c r="F39" s="8" t="s">
        <v>395</v>
      </c>
      <c r="G39" s="8" t="s">
        <v>55</v>
      </c>
      <c r="H39" s="8"/>
      <c r="I39" s="8" t="s">
        <v>396</v>
      </c>
      <c r="J39" s="8" t="s">
        <v>397</v>
      </c>
      <c r="K39" s="9" t="s">
        <v>304</v>
      </c>
      <c r="L39" s="8"/>
      <c r="M39" s="8" t="s">
        <v>287</v>
      </c>
      <c r="N39" s="9" t="s">
        <v>60</v>
      </c>
      <c r="O39" s="8" t="s">
        <v>398</v>
      </c>
      <c r="P39" s="8" t="s">
        <v>399</v>
      </c>
      <c r="Q39" s="8"/>
      <c r="R39" s="8" t="s">
        <v>63</v>
      </c>
      <c r="S39" s="8" t="s">
        <v>400</v>
      </c>
      <c r="T39" s="8"/>
    </row>
    <row r="40" customFormat="false" ht="22.35" hidden="false" customHeight="false" outlineLevel="0" collapsed="false">
      <c r="A40" s="8" t="s">
        <v>401</v>
      </c>
      <c r="B40" s="8" t="s">
        <v>281</v>
      </c>
      <c r="C40" s="8" t="s">
        <v>385</v>
      </c>
      <c r="D40" s="8" t="s">
        <v>402</v>
      </c>
      <c r="E40" s="8" t="s">
        <v>53</v>
      </c>
      <c r="F40" s="8" t="s">
        <v>403</v>
      </c>
      <c r="G40" s="8" t="s">
        <v>55</v>
      </c>
      <c r="H40" s="8"/>
      <c r="I40" s="8" t="s">
        <v>404</v>
      </c>
      <c r="J40" s="8" t="s">
        <v>405</v>
      </c>
      <c r="K40" s="9" t="s">
        <v>304</v>
      </c>
      <c r="L40" s="8"/>
      <c r="M40" s="8" t="s">
        <v>287</v>
      </c>
      <c r="N40" s="9" t="s">
        <v>60</v>
      </c>
      <c r="O40" s="8" t="s">
        <v>406</v>
      </c>
      <c r="P40" s="8" t="s">
        <v>407</v>
      </c>
      <c r="Q40" s="8"/>
      <c r="R40" s="8" t="s">
        <v>63</v>
      </c>
      <c r="S40" s="8" t="s">
        <v>408</v>
      </c>
      <c r="T40" s="8"/>
    </row>
    <row r="41" customFormat="false" ht="22.35" hidden="false" customHeight="false" outlineLevel="0" collapsed="false">
      <c r="A41" s="8" t="s">
        <v>409</v>
      </c>
      <c r="B41" s="8" t="s">
        <v>410</v>
      </c>
      <c r="C41" s="8" t="s">
        <v>411</v>
      </c>
      <c r="D41" s="8" t="s">
        <v>412</v>
      </c>
      <c r="E41" s="8" t="s">
        <v>53</v>
      </c>
      <c r="F41" s="8" t="s">
        <v>413</v>
      </c>
      <c r="G41" s="8" t="s">
        <v>55</v>
      </c>
      <c r="H41" s="8"/>
      <c r="I41" s="8" t="s">
        <v>414</v>
      </c>
      <c r="J41" s="8" t="s">
        <v>415</v>
      </c>
      <c r="K41" s="9" t="s">
        <v>304</v>
      </c>
      <c r="L41" s="8" t="s">
        <v>416</v>
      </c>
      <c r="M41" s="8" t="s">
        <v>287</v>
      </c>
      <c r="N41" s="9" t="s">
        <v>60</v>
      </c>
      <c r="O41" s="8" t="s">
        <v>417</v>
      </c>
      <c r="P41" s="8" t="s">
        <v>418</v>
      </c>
      <c r="Q41" s="8"/>
      <c r="R41" s="9" t="s">
        <v>419</v>
      </c>
      <c r="S41" s="8" t="s">
        <v>420</v>
      </c>
      <c r="T41" s="8"/>
    </row>
    <row r="42" customFormat="false" ht="22.35" hidden="false" customHeight="false" outlineLevel="0" collapsed="false">
      <c r="A42" s="8" t="s">
        <v>421</v>
      </c>
      <c r="B42" s="8" t="s">
        <v>410</v>
      </c>
      <c r="C42" s="8" t="s">
        <v>411</v>
      </c>
      <c r="D42" s="8" t="s">
        <v>422</v>
      </c>
      <c r="E42" s="11" t="s">
        <v>214</v>
      </c>
      <c r="F42" s="8" t="s">
        <v>423</v>
      </c>
      <c r="G42" s="9" t="s">
        <v>216</v>
      </c>
      <c r="H42" s="8"/>
      <c r="I42" s="8" t="s">
        <v>424</v>
      </c>
      <c r="J42" s="8" t="s">
        <v>425</v>
      </c>
      <c r="K42" s="9" t="s">
        <v>304</v>
      </c>
      <c r="L42" s="8" t="s">
        <v>426</v>
      </c>
      <c r="M42" s="8" t="s">
        <v>287</v>
      </c>
      <c r="N42" s="9" t="s">
        <v>60</v>
      </c>
      <c r="O42" s="8" t="s">
        <v>427</v>
      </c>
      <c r="P42" s="8" t="s">
        <v>428</v>
      </c>
      <c r="Q42" s="8"/>
      <c r="R42" s="9" t="s">
        <v>419</v>
      </c>
      <c r="S42" s="8" t="s">
        <v>429</v>
      </c>
      <c r="T42" s="8"/>
    </row>
    <row r="43" customFormat="false" ht="22.35" hidden="false" customHeight="false" outlineLevel="0" collapsed="false">
      <c r="A43" s="8" t="s">
        <v>430</v>
      </c>
      <c r="B43" s="8" t="s">
        <v>410</v>
      </c>
      <c r="C43" s="8" t="s">
        <v>411</v>
      </c>
      <c r="D43" s="8" t="s">
        <v>431</v>
      </c>
      <c r="E43" s="8" t="s">
        <v>53</v>
      </c>
      <c r="F43" s="8" t="s">
        <v>432</v>
      </c>
      <c r="G43" s="8" t="s">
        <v>55</v>
      </c>
      <c r="H43" s="8"/>
      <c r="I43" s="8" t="s">
        <v>433</v>
      </c>
      <c r="J43" s="8" t="s">
        <v>434</v>
      </c>
      <c r="K43" s="9" t="s">
        <v>304</v>
      </c>
      <c r="L43" s="8" t="s">
        <v>435</v>
      </c>
      <c r="M43" s="8" t="s">
        <v>287</v>
      </c>
      <c r="N43" s="9" t="s">
        <v>60</v>
      </c>
      <c r="O43" s="8" t="s">
        <v>436</v>
      </c>
      <c r="P43" s="8" t="s">
        <v>437</v>
      </c>
      <c r="Q43" s="8"/>
      <c r="R43" s="9" t="s">
        <v>419</v>
      </c>
      <c r="S43" s="8" t="s">
        <v>438</v>
      </c>
      <c r="T43" s="8"/>
    </row>
    <row r="44" customFormat="false" ht="22.35" hidden="false" customHeight="false" outlineLevel="0" collapsed="false">
      <c r="A44" s="8" t="s">
        <v>439</v>
      </c>
      <c r="B44" s="8" t="s">
        <v>410</v>
      </c>
      <c r="C44" s="8" t="s">
        <v>411</v>
      </c>
      <c r="D44" s="8" t="s">
        <v>440</v>
      </c>
      <c r="E44" s="8" t="s">
        <v>53</v>
      </c>
      <c r="F44" s="8" t="s">
        <v>441</v>
      </c>
      <c r="G44" s="8" t="s">
        <v>55</v>
      </c>
      <c r="H44" s="8"/>
      <c r="I44" s="8" t="s">
        <v>442</v>
      </c>
      <c r="J44" s="8" t="s">
        <v>443</v>
      </c>
      <c r="K44" s="9" t="s">
        <v>304</v>
      </c>
      <c r="L44" s="8" t="s">
        <v>444</v>
      </c>
      <c r="M44" s="8" t="s">
        <v>287</v>
      </c>
      <c r="N44" s="9" t="s">
        <v>60</v>
      </c>
      <c r="O44" s="8" t="s">
        <v>445</v>
      </c>
      <c r="P44" s="8" t="s">
        <v>446</v>
      </c>
      <c r="Q44" s="8"/>
      <c r="R44" s="9" t="s">
        <v>419</v>
      </c>
      <c r="S44" s="8" t="s">
        <v>447</v>
      </c>
      <c r="T44" s="8"/>
    </row>
    <row r="45" customFormat="false" ht="22.35" hidden="false" customHeight="false" outlineLevel="0" collapsed="false">
      <c r="A45" s="8" t="s">
        <v>448</v>
      </c>
      <c r="B45" s="8" t="s">
        <v>410</v>
      </c>
      <c r="C45" s="8" t="s">
        <v>411</v>
      </c>
      <c r="D45" s="8" t="s">
        <v>449</v>
      </c>
      <c r="E45" s="8" t="s">
        <v>53</v>
      </c>
      <c r="F45" s="8" t="s">
        <v>450</v>
      </c>
      <c r="G45" s="8" t="s">
        <v>55</v>
      </c>
      <c r="H45" s="8"/>
      <c r="I45" s="8" t="s">
        <v>449</v>
      </c>
      <c r="J45" s="8" t="s">
        <v>451</v>
      </c>
      <c r="K45" s="9" t="s">
        <v>304</v>
      </c>
      <c r="L45" s="8" t="s">
        <v>452</v>
      </c>
      <c r="M45" s="8" t="s">
        <v>287</v>
      </c>
      <c r="N45" s="9" t="s">
        <v>60</v>
      </c>
      <c r="O45" s="8" t="s">
        <v>453</v>
      </c>
      <c r="P45" s="8" t="s">
        <v>454</v>
      </c>
      <c r="Q45" s="8"/>
      <c r="R45" s="9" t="s">
        <v>419</v>
      </c>
      <c r="S45" s="8" t="s">
        <v>455</v>
      </c>
      <c r="T45" s="8"/>
    </row>
    <row r="46" customFormat="false" ht="22.35" hidden="false" customHeight="false" outlineLevel="0" collapsed="false">
      <c r="A46" s="8" t="s">
        <v>456</v>
      </c>
      <c r="B46" s="8" t="s">
        <v>410</v>
      </c>
      <c r="C46" s="8" t="s">
        <v>411</v>
      </c>
      <c r="D46" s="8" t="s">
        <v>457</v>
      </c>
      <c r="E46" s="11" t="s">
        <v>214</v>
      </c>
      <c r="F46" s="8" t="s">
        <v>458</v>
      </c>
      <c r="G46" s="9" t="s">
        <v>216</v>
      </c>
      <c r="H46" s="8"/>
      <c r="I46" s="8" t="s">
        <v>459</v>
      </c>
      <c r="J46" s="8" t="s">
        <v>460</v>
      </c>
      <c r="K46" s="9" t="s">
        <v>304</v>
      </c>
      <c r="L46" s="8" t="s">
        <v>461</v>
      </c>
      <c r="M46" s="8" t="s">
        <v>59</v>
      </c>
      <c r="N46" s="9" t="s">
        <v>60</v>
      </c>
      <c r="O46" s="8" t="s">
        <v>462</v>
      </c>
      <c r="P46" s="8" t="s">
        <v>463</v>
      </c>
      <c r="Q46" s="8"/>
      <c r="R46" s="9" t="s">
        <v>419</v>
      </c>
      <c r="S46" s="8" t="s">
        <v>464</v>
      </c>
      <c r="T46" s="8" t="s">
        <v>465</v>
      </c>
    </row>
    <row r="47" customFormat="false" ht="22.35" hidden="false" customHeight="false" outlineLevel="0" collapsed="false">
      <c r="A47" s="8" t="s">
        <v>466</v>
      </c>
      <c r="B47" s="8" t="s">
        <v>410</v>
      </c>
      <c r="C47" s="8" t="s">
        <v>411</v>
      </c>
      <c r="D47" s="8" t="s">
        <v>467</v>
      </c>
      <c r="E47" s="8" t="s">
        <v>53</v>
      </c>
      <c r="F47" s="8" t="s">
        <v>468</v>
      </c>
      <c r="G47" s="8" t="s">
        <v>55</v>
      </c>
      <c r="H47" s="8"/>
      <c r="I47" s="8" t="s">
        <v>469</v>
      </c>
      <c r="J47" s="8" t="s">
        <v>470</v>
      </c>
      <c r="K47" s="9" t="s">
        <v>304</v>
      </c>
      <c r="L47" s="8" t="s">
        <v>471</v>
      </c>
      <c r="M47" s="8" t="s">
        <v>59</v>
      </c>
      <c r="N47" s="9" t="s">
        <v>60</v>
      </c>
      <c r="O47" s="8" t="s">
        <v>472</v>
      </c>
      <c r="P47" s="8" t="s">
        <v>473</v>
      </c>
      <c r="Q47" s="8"/>
      <c r="R47" s="9" t="s">
        <v>419</v>
      </c>
      <c r="S47" s="8" t="s">
        <v>474</v>
      </c>
      <c r="T47" s="8"/>
    </row>
    <row r="48" customFormat="false" ht="22.35" hidden="false" customHeight="false" outlineLevel="0" collapsed="false">
      <c r="A48" s="8" t="s">
        <v>475</v>
      </c>
      <c r="B48" s="8" t="s">
        <v>410</v>
      </c>
      <c r="C48" s="8" t="s">
        <v>411</v>
      </c>
      <c r="D48" s="8" t="s">
        <v>476</v>
      </c>
      <c r="E48" s="11" t="s">
        <v>214</v>
      </c>
      <c r="F48" s="8" t="s">
        <v>477</v>
      </c>
      <c r="G48" s="9" t="s">
        <v>216</v>
      </c>
      <c r="H48" s="8"/>
      <c r="I48" s="8" t="s">
        <v>478</v>
      </c>
      <c r="J48" s="8" t="s">
        <v>479</v>
      </c>
      <c r="K48" s="9" t="s">
        <v>304</v>
      </c>
      <c r="L48" s="8" t="s">
        <v>480</v>
      </c>
      <c r="M48" s="8" t="s">
        <v>287</v>
      </c>
      <c r="N48" s="9" t="s">
        <v>60</v>
      </c>
      <c r="O48" s="8" t="s">
        <v>481</v>
      </c>
      <c r="P48" s="8" t="s">
        <v>482</v>
      </c>
      <c r="Q48" s="8"/>
      <c r="R48" s="9" t="s">
        <v>419</v>
      </c>
      <c r="S48" s="8" t="s">
        <v>483</v>
      </c>
      <c r="T48" s="8"/>
    </row>
    <row r="49" customFormat="false" ht="22.35" hidden="false" customHeight="false" outlineLevel="0" collapsed="false">
      <c r="A49" s="8" t="s">
        <v>484</v>
      </c>
      <c r="B49" s="8" t="s">
        <v>410</v>
      </c>
      <c r="C49" s="8" t="s">
        <v>411</v>
      </c>
      <c r="D49" s="8" t="s">
        <v>485</v>
      </c>
      <c r="E49" s="8" t="s">
        <v>53</v>
      </c>
      <c r="F49" s="8" t="s">
        <v>486</v>
      </c>
      <c r="G49" s="8" t="s">
        <v>55</v>
      </c>
      <c r="H49" s="8"/>
      <c r="I49" s="8" t="s">
        <v>487</v>
      </c>
      <c r="J49" s="8" t="s">
        <v>488</v>
      </c>
      <c r="K49" s="9" t="s">
        <v>304</v>
      </c>
      <c r="L49" s="8" t="s">
        <v>489</v>
      </c>
      <c r="M49" s="8" t="s">
        <v>287</v>
      </c>
      <c r="N49" s="9" t="s">
        <v>60</v>
      </c>
      <c r="O49" s="8" t="s">
        <v>490</v>
      </c>
      <c r="P49" s="8" t="s">
        <v>491</v>
      </c>
      <c r="Q49" s="8"/>
      <c r="R49" s="9" t="s">
        <v>419</v>
      </c>
      <c r="S49" s="8" t="s">
        <v>492</v>
      </c>
      <c r="T49" s="8"/>
    </row>
    <row r="50" customFormat="false" ht="22.35" hidden="false" customHeight="false" outlineLevel="0" collapsed="false">
      <c r="A50" s="8" t="s">
        <v>493</v>
      </c>
      <c r="B50" s="8" t="s">
        <v>410</v>
      </c>
      <c r="C50" s="8" t="s">
        <v>411</v>
      </c>
      <c r="D50" s="8" t="s">
        <v>494</v>
      </c>
      <c r="E50" s="8" t="s">
        <v>53</v>
      </c>
      <c r="F50" s="8" t="s">
        <v>495</v>
      </c>
      <c r="G50" s="8" t="s">
        <v>55</v>
      </c>
      <c r="H50" s="8"/>
      <c r="I50" s="8" t="s">
        <v>496</v>
      </c>
      <c r="J50" s="8" t="s">
        <v>497</v>
      </c>
      <c r="K50" s="9" t="s">
        <v>304</v>
      </c>
      <c r="L50" s="8" t="s">
        <v>498</v>
      </c>
      <c r="M50" s="8" t="s">
        <v>287</v>
      </c>
      <c r="N50" s="9" t="s">
        <v>60</v>
      </c>
      <c r="O50" s="8" t="s">
        <v>499</v>
      </c>
      <c r="P50" s="8" t="s">
        <v>500</v>
      </c>
      <c r="Q50" s="8"/>
      <c r="R50" s="9" t="s">
        <v>419</v>
      </c>
      <c r="S50" s="8" t="s">
        <v>501</v>
      </c>
      <c r="T50" s="8"/>
    </row>
    <row r="51" customFormat="false" ht="22.35" hidden="false" customHeight="false" outlineLevel="0" collapsed="false">
      <c r="A51" s="8" t="s">
        <v>502</v>
      </c>
      <c r="B51" s="8" t="s">
        <v>410</v>
      </c>
      <c r="C51" s="8" t="s">
        <v>411</v>
      </c>
      <c r="D51" s="8" t="s">
        <v>503</v>
      </c>
      <c r="E51" s="11" t="s">
        <v>214</v>
      </c>
      <c r="F51" s="8" t="s">
        <v>504</v>
      </c>
      <c r="G51" s="9" t="s">
        <v>216</v>
      </c>
      <c r="H51" s="8"/>
      <c r="I51" s="8" t="s">
        <v>505</v>
      </c>
      <c r="J51" s="8" t="s">
        <v>506</v>
      </c>
      <c r="K51" s="9" t="s">
        <v>304</v>
      </c>
      <c r="L51" s="8" t="s">
        <v>507</v>
      </c>
      <c r="M51" s="8" t="s">
        <v>287</v>
      </c>
      <c r="N51" s="9" t="s">
        <v>60</v>
      </c>
      <c r="O51" s="8" t="s">
        <v>508</v>
      </c>
      <c r="P51" s="8" t="s">
        <v>509</v>
      </c>
      <c r="Q51" s="8"/>
      <c r="R51" s="9" t="s">
        <v>419</v>
      </c>
      <c r="S51" s="8" t="s">
        <v>510</v>
      </c>
      <c r="T51" s="8" t="s">
        <v>511</v>
      </c>
    </row>
    <row r="52" customFormat="false" ht="22.35" hidden="false" customHeight="false" outlineLevel="0" collapsed="false">
      <c r="A52" s="8" t="s">
        <v>512</v>
      </c>
      <c r="B52" s="8" t="s">
        <v>410</v>
      </c>
      <c r="C52" s="8" t="s">
        <v>411</v>
      </c>
      <c r="D52" s="8" t="s">
        <v>513</v>
      </c>
      <c r="E52" s="11" t="s">
        <v>214</v>
      </c>
      <c r="F52" s="8" t="s">
        <v>514</v>
      </c>
      <c r="G52" s="9" t="s">
        <v>216</v>
      </c>
      <c r="H52" s="8"/>
      <c r="I52" s="8" t="s">
        <v>515</v>
      </c>
      <c r="J52" s="8" t="s">
        <v>516</v>
      </c>
      <c r="K52" s="9" t="s">
        <v>304</v>
      </c>
      <c r="L52" s="8" t="s">
        <v>517</v>
      </c>
      <c r="M52" s="8" t="s">
        <v>287</v>
      </c>
      <c r="N52" s="9" t="s">
        <v>60</v>
      </c>
      <c r="O52" s="8" t="s">
        <v>518</v>
      </c>
      <c r="P52" s="8" t="s">
        <v>519</v>
      </c>
      <c r="Q52" s="8"/>
      <c r="R52" s="9" t="s">
        <v>419</v>
      </c>
      <c r="S52" s="8" t="s">
        <v>520</v>
      </c>
      <c r="T52" s="8"/>
    </row>
    <row r="53" customFormat="false" ht="22.35" hidden="false" customHeight="false" outlineLevel="0" collapsed="false">
      <c r="A53" s="8" t="s">
        <v>521</v>
      </c>
      <c r="B53" s="8" t="s">
        <v>410</v>
      </c>
      <c r="C53" s="8" t="s">
        <v>522</v>
      </c>
      <c r="D53" s="8" t="s">
        <v>523</v>
      </c>
      <c r="E53" s="8" t="s">
        <v>53</v>
      </c>
      <c r="F53" s="8" t="s">
        <v>524</v>
      </c>
      <c r="G53" s="8" t="s">
        <v>55</v>
      </c>
      <c r="H53" s="8"/>
      <c r="I53" s="8" t="s">
        <v>523</v>
      </c>
      <c r="J53" s="8" t="s">
        <v>525</v>
      </c>
      <c r="K53" s="8" t="s">
        <v>53</v>
      </c>
      <c r="L53" s="8" t="s">
        <v>526</v>
      </c>
      <c r="M53" s="8" t="s">
        <v>59</v>
      </c>
      <c r="N53" s="9" t="s">
        <v>60</v>
      </c>
      <c r="O53" s="8" t="s">
        <v>527</v>
      </c>
      <c r="P53" s="8" t="s">
        <v>528</v>
      </c>
      <c r="Q53" s="8"/>
      <c r="R53" s="8" t="s">
        <v>529</v>
      </c>
      <c r="S53" s="8" t="s">
        <v>530</v>
      </c>
      <c r="T53" s="8" t="s">
        <v>531</v>
      </c>
    </row>
    <row r="54" customFormat="false" ht="22.35" hidden="false" customHeight="false" outlineLevel="0" collapsed="false">
      <c r="A54" s="8" t="s">
        <v>532</v>
      </c>
      <c r="B54" s="8" t="s">
        <v>410</v>
      </c>
      <c r="C54" s="8" t="s">
        <v>522</v>
      </c>
      <c r="D54" s="8" t="s">
        <v>533</v>
      </c>
      <c r="E54" s="11" t="s">
        <v>214</v>
      </c>
      <c r="F54" s="8" t="s">
        <v>534</v>
      </c>
      <c r="G54" s="9" t="s">
        <v>216</v>
      </c>
      <c r="H54" s="8"/>
      <c r="I54" s="8" t="s">
        <v>535</v>
      </c>
      <c r="J54" s="8" t="s">
        <v>536</v>
      </c>
      <c r="K54" s="8" t="s">
        <v>53</v>
      </c>
      <c r="L54" s="8" t="s">
        <v>537</v>
      </c>
      <c r="M54" s="8" t="s">
        <v>287</v>
      </c>
      <c r="N54" s="9" t="s">
        <v>60</v>
      </c>
      <c r="O54" s="8" t="s">
        <v>538</v>
      </c>
      <c r="P54" s="8" t="s">
        <v>539</v>
      </c>
      <c r="Q54" s="8"/>
      <c r="R54" s="8" t="s">
        <v>529</v>
      </c>
      <c r="S54" s="8" t="s">
        <v>540</v>
      </c>
      <c r="T54" s="8" t="s">
        <v>541</v>
      </c>
    </row>
    <row r="55" customFormat="false" ht="22.35" hidden="false" customHeight="false" outlineLevel="0" collapsed="false">
      <c r="A55" s="8" t="s">
        <v>542</v>
      </c>
      <c r="B55" s="8" t="s">
        <v>410</v>
      </c>
      <c r="C55" s="8" t="s">
        <v>522</v>
      </c>
      <c r="D55" s="8" t="s">
        <v>543</v>
      </c>
      <c r="E55" s="8" t="s">
        <v>53</v>
      </c>
      <c r="F55" s="8" t="s">
        <v>544</v>
      </c>
      <c r="G55" s="8" t="s">
        <v>55</v>
      </c>
      <c r="H55" s="8"/>
      <c r="I55" s="8" t="s">
        <v>545</v>
      </c>
      <c r="J55" s="8" t="s">
        <v>546</v>
      </c>
      <c r="K55" s="8" t="s">
        <v>53</v>
      </c>
      <c r="L55" s="8" t="s">
        <v>547</v>
      </c>
      <c r="M55" s="8" t="s">
        <v>59</v>
      </c>
      <c r="N55" s="9" t="s">
        <v>60</v>
      </c>
      <c r="O55" s="8" t="s">
        <v>548</v>
      </c>
      <c r="P55" s="8" t="s">
        <v>549</v>
      </c>
      <c r="Q55" s="8"/>
      <c r="R55" s="9" t="s">
        <v>419</v>
      </c>
      <c r="S55" s="8" t="s">
        <v>550</v>
      </c>
      <c r="T55" s="8"/>
    </row>
    <row r="56" customFormat="false" ht="22.35" hidden="false" customHeight="false" outlineLevel="0" collapsed="false">
      <c r="A56" s="8" t="s">
        <v>551</v>
      </c>
      <c r="B56" s="8" t="s">
        <v>410</v>
      </c>
      <c r="C56" s="8" t="s">
        <v>522</v>
      </c>
      <c r="D56" s="8" t="s">
        <v>552</v>
      </c>
      <c r="E56" s="8" t="s">
        <v>53</v>
      </c>
      <c r="F56" s="8" t="s">
        <v>553</v>
      </c>
      <c r="G56" s="8" t="s">
        <v>55</v>
      </c>
      <c r="H56" s="8"/>
      <c r="I56" s="8" t="s">
        <v>554</v>
      </c>
      <c r="J56" s="8" t="s">
        <v>555</v>
      </c>
      <c r="K56" s="8" t="s">
        <v>53</v>
      </c>
      <c r="L56" s="8" t="s">
        <v>556</v>
      </c>
      <c r="M56" s="8" t="s">
        <v>59</v>
      </c>
      <c r="N56" s="9" t="s">
        <v>60</v>
      </c>
      <c r="O56" s="8" t="s">
        <v>557</v>
      </c>
      <c r="P56" s="8" t="s">
        <v>558</v>
      </c>
      <c r="Q56" s="8"/>
      <c r="R56" s="9" t="s">
        <v>419</v>
      </c>
      <c r="S56" s="8" t="s">
        <v>559</v>
      </c>
      <c r="T56" s="8"/>
    </row>
    <row r="57" customFormat="false" ht="22.35" hidden="false" customHeight="false" outlineLevel="0" collapsed="false">
      <c r="A57" s="8" t="s">
        <v>560</v>
      </c>
      <c r="B57" s="8" t="s">
        <v>410</v>
      </c>
      <c r="C57" s="8" t="s">
        <v>522</v>
      </c>
      <c r="D57" s="8" t="s">
        <v>561</v>
      </c>
      <c r="E57" s="8" t="s">
        <v>53</v>
      </c>
      <c r="F57" s="8" t="s">
        <v>562</v>
      </c>
      <c r="G57" s="8" t="s">
        <v>55</v>
      </c>
      <c r="H57" s="8"/>
      <c r="I57" s="8" t="s">
        <v>563</v>
      </c>
      <c r="J57" s="8" t="s">
        <v>564</v>
      </c>
      <c r="K57" s="9" t="s">
        <v>304</v>
      </c>
      <c r="L57" s="8" t="s">
        <v>565</v>
      </c>
      <c r="M57" s="8" t="s">
        <v>59</v>
      </c>
      <c r="N57" s="9" t="s">
        <v>60</v>
      </c>
      <c r="O57" s="8" t="s">
        <v>566</v>
      </c>
      <c r="P57" s="8" t="s">
        <v>567</v>
      </c>
      <c r="Q57" s="8"/>
      <c r="R57" s="9" t="s">
        <v>419</v>
      </c>
      <c r="S57" s="8" t="s">
        <v>568</v>
      </c>
      <c r="T57" s="8"/>
    </row>
    <row r="58" customFormat="false" ht="22.35" hidden="false" customHeight="false" outlineLevel="0" collapsed="false">
      <c r="A58" s="8" t="s">
        <v>569</v>
      </c>
      <c r="B58" s="8" t="s">
        <v>410</v>
      </c>
      <c r="C58" s="8" t="s">
        <v>522</v>
      </c>
      <c r="D58" s="8" t="s">
        <v>570</v>
      </c>
      <c r="E58" s="8" t="s">
        <v>53</v>
      </c>
      <c r="F58" s="8" t="s">
        <v>571</v>
      </c>
      <c r="G58" s="8" t="s">
        <v>55</v>
      </c>
      <c r="H58" s="8"/>
      <c r="I58" s="8" t="s">
        <v>572</v>
      </c>
      <c r="J58" s="8" t="s">
        <v>573</v>
      </c>
      <c r="K58" s="8" t="s">
        <v>53</v>
      </c>
      <c r="L58" s="8" t="s">
        <v>574</v>
      </c>
      <c r="M58" s="8" t="s">
        <v>59</v>
      </c>
      <c r="N58" s="9" t="s">
        <v>60</v>
      </c>
      <c r="O58" s="8" t="s">
        <v>575</v>
      </c>
      <c r="P58" s="8" t="s">
        <v>576</v>
      </c>
      <c r="Q58" s="8"/>
      <c r="R58" s="9" t="s">
        <v>419</v>
      </c>
      <c r="S58" s="8" t="s">
        <v>577</v>
      </c>
      <c r="T58" s="8"/>
    </row>
    <row r="59" customFormat="false" ht="22.35" hidden="false" customHeight="false" outlineLevel="0" collapsed="false">
      <c r="A59" s="8" t="s">
        <v>578</v>
      </c>
      <c r="B59" s="8" t="s">
        <v>410</v>
      </c>
      <c r="C59" s="8" t="s">
        <v>522</v>
      </c>
      <c r="D59" s="8" t="s">
        <v>579</v>
      </c>
      <c r="E59" s="11" t="s">
        <v>214</v>
      </c>
      <c r="F59" s="8" t="s">
        <v>580</v>
      </c>
      <c r="G59" s="9" t="s">
        <v>216</v>
      </c>
      <c r="H59" s="8"/>
      <c r="I59" s="8" t="s">
        <v>581</v>
      </c>
      <c r="J59" s="8" t="s">
        <v>582</v>
      </c>
      <c r="K59" s="8" t="s">
        <v>53</v>
      </c>
      <c r="L59" s="8" t="s">
        <v>583</v>
      </c>
      <c r="M59" s="8" t="s">
        <v>287</v>
      </c>
      <c r="N59" s="9" t="s">
        <v>60</v>
      </c>
      <c r="O59" s="8" t="s">
        <v>584</v>
      </c>
      <c r="P59" s="8" t="s">
        <v>585</v>
      </c>
      <c r="Q59" s="8"/>
      <c r="R59" s="9" t="s">
        <v>419</v>
      </c>
      <c r="S59" s="8" t="s">
        <v>586</v>
      </c>
      <c r="T59" s="8"/>
    </row>
    <row r="60" customFormat="false" ht="22.35" hidden="false" customHeight="false" outlineLevel="0" collapsed="false">
      <c r="A60" s="8" t="s">
        <v>587</v>
      </c>
      <c r="B60" s="8" t="s">
        <v>410</v>
      </c>
      <c r="C60" s="8" t="s">
        <v>522</v>
      </c>
      <c r="D60" s="8" t="s">
        <v>588</v>
      </c>
      <c r="E60" s="11" t="s">
        <v>214</v>
      </c>
      <c r="F60" s="8" t="s">
        <v>589</v>
      </c>
      <c r="G60" s="9" t="s">
        <v>216</v>
      </c>
      <c r="H60" s="8"/>
      <c r="I60" s="8" t="s">
        <v>590</v>
      </c>
      <c r="J60" s="8" t="s">
        <v>591</v>
      </c>
      <c r="K60" s="8" t="s">
        <v>53</v>
      </c>
      <c r="L60" s="8" t="s">
        <v>592</v>
      </c>
      <c r="M60" s="8" t="s">
        <v>287</v>
      </c>
      <c r="N60" s="9" t="s">
        <v>60</v>
      </c>
      <c r="O60" s="8" t="s">
        <v>593</v>
      </c>
      <c r="P60" s="8" t="s">
        <v>594</v>
      </c>
      <c r="Q60" s="8"/>
      <c r="R60" s="9" t="s">
        <v>419</v>
      </c>
      <c r="S60" s="8" t="s">
        <v>595</v>
      </c>
      <c r="T60" s="8"/>
    </row>
    <row r="61" customFormat="false" ht="22.35" hidden="false" customHeight="false" outlineLevel="0" collapsed="false">
      <c r="A61" s="8" t="s">
        <v>596</v>
      </c>
      <c r="B61" s="8" t="s">
        <v>410</v>
      </c>
      <c r="C61" s="8" t="s">
        <v>522</v>
      </c>
      <c r="D61" s="8" t="s">
        <v>597</v>
      </c>
      <c r="E61" s="8" t="s">
        <v>53</v>
      </c>
      <c r="F61" s="8" t="s">
        <v>598</v>
      </c>
      <c r="G61" s="8" t="s">
        <v>55</v>
      </c>
      <c r="H61" s="8"/>
      <c r="I61" s="8" t="s">
        <v>599</v>
      </c>
      <c r="J61" s="8" t="s">
        <v>600</v>
      </c>
      <c r="K61" s="8" t="s">
        <v>53</v>
      </c>
      <c r="L61" s="8" t="s">
        <v>601</v>
      </c>
      <c r="M61" s="8" t="s">
        <v>59</v>
      </c>
      <c r="N61" s="9" t="s">
        <v>60</v>
      </c>
      <c r="O61" s="8" t="s">
        <v>602</v>
      </c>
      <c r="P61" s="8" t="s">
        <v>603</v>
      </c>
      <c r="Q61" s="8"/>
      <c r="R61" s="9" t="s">
        <v>419</v>
      </c>
      <c r="S61" s="8" t="s">
        <v>604</v>
      </c>
      <c r="T61" s="8"/>
    </row>
    <row r="62" customFormat="false" ht="22.35" hidden="false" customHeight="false" outlineLevel="0" collapsed="false">
      <c r="A62" s="8" t="s">
        <v>605</v>
      </c>
      <c r="B62" s="8" t="s">
        <v>410</v>
      </c>
      <c r="C62" s="8" t="s">
        <v>522</v>
      </c>
      <c r="D62" s="8" t="s">
        <v>606</v>
      </c>
      <c r="E62" s="8" t="s">
        <v>53</v>
      </c>
      <c r="F62" s="8" t="s">
        <v>607</v>
      </c>
      <c r="G62" s="8" t="s">
        <v>55</v>
      </c>
      <c r="H62" s="8"/>
      <c r="I62" s="8" t="s">
        <v>608</v>
      </c>
      <c r="J62" s="8" t="s">
        <v>609</v>
      </c>
      <c r="K62" s="8" t="s">
        <v>53</v>
      </c>
      <c r="L62" s="8" t="s">
        <v>610</v>
      </c>
      <c r="M62" s="8" t="s">
        <v>59</v>
      </c>
      <c r="N62" s="9" t="s">
        <v>60</v>
      </c>
      <c r="O62" s="8" t="s">
        <v>611</v>
      </c>
      <c r="P62" s="8" t="s">
        <v>612</v>
      </c>
      <c r="Q62" s="8"/>
      <c r="R62" s="9" t="s">
        <v>419</v>
      </c>
      <c r="S62" s="8" t="s">
        <v>613</v>
      </c>
      <c r="T62" s="8"/>
    </row>
    <row r="63" customFormat="false" ht="22.35" hidden="false" customHeight="false" outlineLevel="0" collapsed="false">
      <c r="A63" s="8" t="s">
        <v>614</v>
      </c>
      <c r="B63" s="8" t="s">
        <v>410</v>
      </c>
      <c r="C63" s="8" t="s">
        <v>522</v>
      </c>
      <c r="D63" s="8" t="s">
        <v>615</v>
      </c>
      <c r="E63" s="11" t="s">
        <v>214</v>
      </c>
      <c r="F63" s="8" t="s">
        <v>616</v>
      </c>
      <c r="G63" s="9" t="s">
        <v>216</v>
      </c>
      <c r="H63" s="8"/>
      <c r="I63" s="8" t="s">
        <v>617</v>
      </c>
      <c r="J63" s="8" t="s">
        <v>618</v>
      </c>
      <c r="K63" s="8" t="s">
        <v>53</v>
      </c>
      <c r="L63" s="8" t="s">
        <v>619</v>
      </c>
      <c r="M63" s="8" t="s">
        <v>59</v>
      </c>
      <c r="N63" s="9" t="s">
        <v>60</v>
      </c>
      <c r="O63" s="8" t="s">
        <v>620</v>
      </c>
      <c r="P63" s="8" t="s">
        <v>621</v>
      </c>
      <c r="Q63" s="8"/>
      <c r="R63" s="9" t="s">
        <v>419</v>
      </c>
      <c r="S63" s="8" t="s">
        <v>622</v>
      </c>
      <c r="T63" s="8"/>
    </row>
    <row r="64" customFormat="false" ht="22.35" hidden="false" customHeight="false" outlineLevel="0" collapsed="false">
      <c r="A64" s="8" t="s">
        <v>623</v>
      </c>
      <c r="B64" s="8" t="s">
        <v>410</v>
      </c>
      <c r="C64" s="8" t="s">
        <v>522</v>
      </c>
      <c r="D64" s="8" t="s">
        <v>624</v>
      </c>
      <c r="E64" s="9" t="s">
        <v>625</v>
      </c>
      <c r="F64" s="8" t="s">
        <v>626</v>
      </c>
      <c r="G64" s="8" t="s">
        <v>55</v>
      </c>
      <c r="H64" s="8"/>
      <c r="I64" s="8" t="s">
        <v>627</v>
      </c>
      <c r="J64" s="8" t="s">
        <v>628</v>
      </c>
      <c r="K64" s="8" t="s">
        <v>53</v>
      </c>
      <c r="L64" s="8" t="s">
        <v>629</v>
      </c>
      <c r="M64" s="8" t="s">
        <v>59</v>
      </c>
      <c r="N64" s="9" t="s">
        <v>60</v>
      </c>
      <c r="O64" s="8" t="s">
        <v>630</v>
      </c>
      <c r="P64" s="8" t="s">
        <v>631</v>
      </c>
      <c r="Q64" s="8"/>
      <c r="R64" s="9" t="s">
        <v>419</v>
      </c>
      <c r="S64" s="8" t="s">
        <v>632</v>
      </c>
      <c r="T64" s="8" t="s">
        <v>625</v>
      </c>
    </row>
  </sheetData>
  <autoFilter ref="A1:T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3" t="s">
        <v>37</v>
      </c>
      <c r="B1" s="3" t="s">
        <v>36</v>
      </c>
      <c r="C1" s="3" t="s">
        <v>633</v>
      </c>
    </row>
    <row r="2" customFormat="false" ht="15" hidden="false" customHeight="false" outlineLevel="0" collapsed="false">
      <c r="A2" s="4" t="s">
        <v>634</v>
      </c>
      <c r="B2" s="4" t="s">
        <v>635</v>
      </c>
      <c r="C2" s="4" t="s">
        <v>636</v>
      </c>
    </row>
    <row r="3" customFormat="false" ht="15" hidden="false" customHeight="false" outlineLevel="0" collapsed="false">
      <c r="A3" s="4" t="s">
        <v>637</v>
      </c>
      <c r="B3" s="4"/>
      <c r="C3" s="4" t="s">
        <v>638</v>
      </c>
    </row>
    <row r="4" customFormat="false" ht="15" hidden="false" customHeight="false" outlineLevel="0" collapsed="false">
      <c r="A4" s="4" t="s">
        <v>639</v>
      </c>
      <c r="B4" s="4"/>
      <c r="C4" s="4" t="s">
        <v>640</v>
      </c>
    </row>
    <row r="5" customFormat="false" ht="15" hidden="false" customHeight="false" outlineLevel="0" collapsed="false">
      <c r="A5" s="4" t="s">
        <v>641</v>
      </c>
      <c r="B5" s="4"/>
      <c r="C5" s="4" t="s">
        <v>640</v>
      </c>
    </row>
    <row r="6" customFormat="false" ht="15" hidden="false" customHeight="false" outlineLevel="0" collapsed="false">
      <c r="A6" s="4" t="s">
        <v>642</v>
      </c>
      <c r="B6" s="4"/>
      <c r="C6" s="4" t="s">
        <v>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2026-10-26T18:27:53Z</dcterms:created>
  <dc:creator>openpyxl</dc:creator>
  <dc:description/>
  <dc:language>en-US</dc:language>
  <cp:lastModifiedBy/>
  <dcterms:modified xsi:type="dcterms:W3CDTF">2026-10-26T18:27:53Z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